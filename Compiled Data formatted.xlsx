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myle/Downloads/DSDA310/Case 2/"/>
    </mc:Choice>
  </mc:AlternateContent>
  <xr:revisionPtr revIDLastSave="0" documentId="13_ncr:1_{256169D4-E523-D747-ADB0-E6F5553FB6AF}" xr6:coauthVersionLast="47" xr6:coauthVersionMax="47" xr10:uidLastSave="{00000000-0000-0000-0000-000000000000}"/>
  <bookViews>
    <workbookView xWindow="0" yWindow="500" windowWidth="15960" windowHeight="15980" xr2:uid="{00000000-000D-0000-FFFF-FFFF00000000}"/>
  </bookViews>
  <sheets>
    <sheet name="TOTALS" sheetId="1" r:id="rId1"/>
    <sheet name="Traff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2" l="1"/>
  <c r="D39" i="2"/>
  <c r="C39" i="2"/>
  <c r="E38" i="2"/>
  <c r="D38" i="2"/>
  <c r="C38" i="2"/>
  <c r="G37" i="2"/>
  <c r="F37" i="2"/>
  <c r="E37" i="2"/>
  <c r="D37" i="2"/>
  <c r="C37" i="2"/>
  <c r="J36" i="2"/>
  <c r="E36" i="2"/>
  <c r="D36" i="2"/>
  <c r="C36" i="2"/>
  <c r="E35" i="2"/>
  <c r="D35" i="2"/>
  <c r="C35" i="2"/>
  <c r="G34" i="2"/>
  <c r="F34" i="2"/>
  <c r="E34" i="2"/>
  <c r="D34" i="2"/>
  <c r="C34" i="2"/>
  <c r="E33" i="2"/>
  <c r="D33" i="2"/>
  <c r="C33" i="2"/>
  <c r="K32" i="2"/>
  <c r="J32" i="2"/>
  <c r="G32" i="2"/>
  <c r="F32" i="2"/>
  <c r="E32" i="2"/>
  <c r="D32" i="2"/>
  <c r="C32" i="2"/>
  <c r="G31" i="2"/>
  <c r="F31" i="2"/>
  <c r="E31" i="2"/>
  <c r="D31" i="2"/>
  <c r="C31" i="2"/>
  <c r="J30" i="2"/>
  <c r="G30" i="2"/>
  <c r="F30" i="2"/>
  <c r="E30" i="2"/>
  <c r="D30" i="2"/>
  <c r="C30" i="2"/>
  <c r="G29" i="2"/>
  <c r="F29" i="2"/>
  <c r="E29" i="2"/>
  <c r="D29" i="2"/>
  <c r="C29" i="2"/>
  <c r="J27" i="2"/>
  <c r="I27" i="2"/>
  <c r="J26" i="2"/>
  <c r="I26" i="2"/>
  <c r="K25" i="2"/>
  <c r="K37" i="2" s="1"/>
  <c r="J25" i="2"/>
  <c r="I25" i="2"/>
  <c r="J24" i="2"/>
  <c r="I24" i="2"/>
  <c r="J23" i="2"/>
  <c r="J35" i="2" s="1"/>
  <c r="I23" i="2"/>
  <c r="K22" i="2"/>
  <c r="J22" i="2"/>
  <c r="J34" i="2" s="1"/>
  <c r="I22" i="2"/>
  <c r="J21" i="2"/>
  <c r="I21" i="2"/>
  <c r="K20" i="2"/>
  <c r="J20" i="2"/>
  <c r="I20" i="2"/>
  <c r="K19" i="2"/>
  <c r="K31" i="2" s="1"/>
  <c r="J19" i="2"/>
  <c r="J31" i="2" s="1"/>
  <c r="I19" i="2"/>
  <c r="K18" i="2"/>
  <c r="J18" i="2"/>
  <c r="I18" i="2"/>
  <c r="K15" i="2"/>
  <c r="J14" i="2"/>
  <c r="I14" i="2"/>
  <c r="J13" i="2"/>
  <c r="I13" i="2"/>
  <c r="J12" i="2"/>
  <c r="J39" i="2" s="1"/>
  <c r="I12" i="2"/>
  <c r="I39" i="2" s="1"/>
  <c r="J11" i="2"/>
  <c r="J38" i="2" s="1"/>
  <c r="I11" i="2"/>
  <c r="I38" i="2" s="1"/>
  <c r="K10" i="2"/>
  <c r="J10" i="2"/>
  <c r="J37" i="2" s="1"/>
  <c r="I10" i="2"/>
  <c r="I37" i="2" s="1"/>
  <c r="J9" i="2"/>
  <c r="I9" i="2"/>
  <c r="I36" i="2" s="1"/>
  <c r="J8" i="2"/>
  <c r="I8" i="2"/>
  <c r="I35" i="2" s="1"/>
  <c r="K7" i="2"/>
  <c r="K34" i="2" s="1"/>
  <c r="J7" i="2"/>
  <c r="I7" i="2"/>
  <c r="I34" i="2" s="1"/>
  <c r="J6" i="2"/>
  <c r="J33" i="2" s="1"/>
  <c r="I6" i="2"/>
  <c r="I33" i="2" s="1"/>
  <c r="K5" i="2"/>
  <c r="J5" i="2"/>
  <c r="I5" i="2"/>
  <c r="I32" i="2" s="1"/>
  <c r="K4" i="2"/>
  <c r="J4" i="2"/>
  <c r="I4" i="2"/>
  <c r="I31" i="2" s="1"/>
  <c r="K3" i="2"/>
  <c r="K30" i="2" s="1"/>
  <c r="J3" i="2"/>
  <c r="I3" i="2"/>
  <c r="I30" i="2" s="1"/>
  <c r="G49" i="1"/>
  <c r="F49" i="1"/>
  <c r="G48" i="1"/>
  <c r="F48" i="1"/>
  <c r="G46" i="1"/>
  <c r="F46" i="1"/>
  <c r="G45" i="1"/>
  <c r="F45" i="1"/>
  <c r="G43" i="1"/>
  <c r="G42" i="1"/>
  <c r="G40" i="1"/>
  <c r="G39" i="1"/>
  <c r="G37" i="1"/>
  <c r="G36" i="1"/>
  <c r="G34" i="1"/>
  <c r="G33" i="1"/>
  <c r="J31" i="1"/>
  <c r="I31" i="1"/>
  <c r="G31" i="1"/>
  <c r="J30" i="1"/>
  <c r="I30" i="1"/>
  <c r="G30" i="1"/>
  <c r="J29" i="1"/>
  <c r="I29" i="1"/>
  <c r="G29" i="1"/>
  <c r="J28" i="1"/>
  <c r="I28" i="1"/>
  <c r="G28" i="1"/>
  <c r="J27" i="1"/>
  <c r="I27" i="1"/>
  <c r="G27" i="1"/>
  <c r="J26" i="1"/>
  <c r="I26" i="1"/>
  <c r="G26" i="1"/>
  <c r="G24" i="1"/>
  <c r="G23" i="1"/>
  <c r="G22" i="1"/>
  <c r="G21" i="1"/>
  <c r="G20" i="1"/>
  <c r="G19" i="1"/>
  <c r="G17" i="1"/>
  <c r="G16" i="1"/>
  <c r="G15" i="1"/>
  <c r="G14" i="1"/>
  <c r="G13" i="1"/>
  <c r="G12" i="1"/>
  <c r="G10" i="1"/>
  <c r="F10" i="1"/>
  <c r="G9" i="1"/>
  <c r="F9" i="1"/>
  <c r="G8" i="1"/>
  <c r="F8" i="1"/>
  <c r="G7" i="1"/>
  <c r="F7" i="1"/>
  <c r="G6" i="1"/>
  <c r="G5" i="1"/>
  <c r="F5" i="1"/>
  <c r="G4" i="1"/>
  <c r="F4" i="1"/>
  <c r="G3" i="1"/>
  <c r="G2" i="1"/>
  <c r="F2" i="1"/>
</calcChain>
</file>

<file path=xl/sharedStrings.xml><?xml version="1.0" encoding="utf-8"?>
<sst xmlns="http://schemas.openxmlformats.org/spreadsheetml/2006/main" count="191" uniqueCount="87">
  <si>
    <t>Period</t>
  </si>
  <si>
    <t>Thur 1/20/22 - Tue 4/19/22</t>
  </si>
  <si>
    <t>Thur 1/21/21 - Tue 4/20/21</t>
  </si>
  <si>
    <t>% Change</t>
  </si>
  <si>
    <t>DIFF</t>
  </si>
  <si>
    <t>Impressions</t>
  </si>
  <si>
    <t>Impressions click-through rate (%)</t>
  </si>
  <si>
    <t>Unique viewers</t>
  </si>
  <si>
    <t>Average views per viewer</t>
  </si>
  <si>
    <t>Average view duration</t>
  </si>
  <si>
    <t>0:08:08</t>
  </si>
  <si>
    <t>0:09:00</t>
  </si>
  <si>
    <t>Views</t>
  </si>
  <si>
    <t>Watch time (hours)</t>
  </si>
  <si>
    <t>Net subscribers gained</t>
  </si>
  <si>
    <t>Estimated revenue (USD)</t>
  </si>
  <si>
    <t>18–24 years</t>
  </si>
  <si>
    <t>0:04:55</t>
  </si>
  <si>
    <t>0:03:14</t>
  </si>
  <si>
    <t>25–34 years</t>
  </si>
  <si>
    <t>0:07:17</t>
  </si>
  <si>
    <t>0:07:41</t>
  </si>
  <si>
    <t>35–44 years</t>
  </si>
  <si>
    <t>0:08:12</t>
  </si>
  <si>
    <t>0:08:59</t>
  </si>
  <si>
    <t>45–54 years</t>
  </si>
  <si>
    <t>0:08:09</t>
  </si>
  <si>
    <t>0:10:32</t>
  </si>
  <si>
    <t>55–64 years</t>
  </si>
  <si>
    <t>0:08:46</t>
  </si>
  <si>
    <t>0:09:08</t>
  </si>
  <si>
    <t>65+ years</t>
  </si>
  <si>
    <t>0:07:59</t>
  </si>
  <si>
    <t>0:08:19</t>
  </si>
  <si>
    <t>% of Views</t>
  </si>
  <si>
    <t>Share of time vs views</t>
  </si>
  <si>
    <t>% of Watch time (hours)</t>
  </si>
  <si>
    <t>Female</t>
  </si>
  <si>
    <t>0:07:46</t>
  </si>
  <si>
    <t>0:08:23</t>
  </si>
  <si>
    <t>Male</t>
  </si>
  <si>
    <t>Not subscribed</t>
  </si>
  <si>
    <t>0:07:52</t>
  </si>
  <si>
    <t>Subscribed</t>
  </si>
  <si>
    <t>0:08:55</t>
  </si>
  <si>
    <t>0:11:45</t>
  </si>
  <si>
    <t>Traffic source</t>
  </si>
  <si>
    <t>Share of views</t>
  </si>
  <si>
    <t>Share of watch time</t>
  </si>
  <si>
    <t>Share of impressions</t>
  </si>
  <si>
    <t>Total</t>
  </si>
  <si>
    <t>Browse features</t>
  </si>
  <si>
    <t>0:07:48</t>
  </si>
  <si>
    <t>Suggested videos</t>
  </si>
  <si>
    <t>0:10:54</t>
  </si>
  <si>
    <t>YouTube search</t>
  </si>
  <si>
    <t>0:07:25</t>
  </si>
  <si>
    <t>External</t>
  </si>
  <si>
    <t>0:05:30</t>
  </si>
  <si>
    <t>Channel pages</t>
  </si>
  <si>
    <t>Direct or unknown</t>
  </si>
  <si>
    <t>0:05:24</t>
  </si>
  <si>
    <t>Other YouTube features</t>
  </si>
  <si>
    <t>0:11:58</t>
  </si>
  <si>
    <t>Playlists</t>
  </si>
  <si>
    <t>0:08:47</t>
  </si>
  <si>
    <t>Notifications</t>
  </si>
  <si>
    <t>0:04:03</t>
  </si>
  <si>
    <t>End screens</t>
  </si>
  <si>
    <t>0:07:36</t>
  </si>
  <si>
    <t>Hashtag pages</t>
  </si>
  <si>
    <t>0:01:20</t>
  </si>
  <si>
    <t>Video cards and annotations</t>
  </si>
  <si>
    <t>0:00:06</t>
  </si>
  <si>
    <t>Product pages</t>
  </si>
  <si>
    <t>0:10:10</t>
  </si>
  <si>
    <t>0:11:46</t>
  </si>
  <si>
    <t>0:08:24</t>
  </si>
  <si>
    <t>0:04:54</t>
  </si>
  <si>
    <t>0:08:51</t>
  </si>
  <si>
    <t>0:06:41</t>
  </si>
  <si>
    <t>0:13:25</t>
  </si>
  <si>
    <t>0:09:24</t>
  </si>
  <si>
    <t>0:08:43</t>
  </si>
  <si>
    <t>0:07:19</t>
  </si>
  <si>
    <t>2022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</si>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</sst>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.0"/>
    <numFmt numFmtId="166" formatCode="[s]&quot;s&quot;"/>
    <numFmt numFmtId="167" formatCode="#,##0.0"/>
    <numFmt numFmtId="168" formatCode="[m]&quot;m&quot;\ s&quot;s&quot;"/>
    <numFmt numFmtId="169" formatCode="[m]&quot;m&quot;"/>
    <numFmt numFmtId="170" formatCode="0.0000"/>
  </numFmts>
  <fonts count="4" x14ac:knownFonts="1">
    <font>
      <sz val="10"/>
      <color indexed="8"/>
      <name val="Helvetica Neue"/>
    </font>
    <font>
      <b/>
      <sz val="10"/>
      <color indexed="8"/>
      <name val="Helvetica Neue"/>
    </font>
    <font>
      <b/>
      <i/>
      <sz val="10"/>
      <color indexed="8"/>
      <name val="Helvetica Neue"/>
    </font>
    <font>
      <b/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2" borderId="1" xfId="0" applyNumberFormat="1" applyFont="1" applyFill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49" fontId="1" fillId="3" borderId="2" xfId="0" applyNumberFormat="1" applyFont="1" applyFill="1" applyBorder="1" applyAlignment="1">
      <alignment vertical="top"/>
    </xf>
    <xf numFmtId="3" fontId="0" fillId="0" borderId="4" xfId="0" applyNumberFormat="1" applyBorder="1" applyAlignment="1">
      <alignment horizontal="right" vertical="top"/>
    </xf>
    <xf numFmtId="3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49" fontId="1" fillId="3" borderId="5" xfId="0" applyNumberFormat="1" applyFont="1" applyFill="1" applyBorder="1" applyAlignment="1">
      <alignment vertical="top"/>
    </xf>
    <xf numFmtId="49" fontId="1" fillId="3" borderId="6" xfId="0" applyNumberFormat="1" applyFont="1" applyFill="1" applyBorder="1" applyAlignment="1">
      <alignment vertical="top"/>
    </xf>
    <xf numFmtId="0" fontId="0" fillId="0" borderId="7" xfId="0" applyNumberFormat="1" applyBorder="1" applyAlignment="1">
      <alignment horizontal="right" vertical="top"/>
    </xf>
    <xf numFmtId="0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5" xfId="0" applyBorder="1" applyAlignment="1">
      <alignment horizontal="right" vertical="top"/>
    </xf>
    <xf numFmtId="3" fontId="0" fillId="0" borderId="7" xfId="0" applyNumberFormat="1" applyBorder="1" applyAlignment="1">
      <alignment horizontal="right" vertical="top"/>
    </xf>
    <xf numFmtId="3" fontId="0" fillId="0" borderId="5" xfId="0" applyNumberFormat="1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165" fontId="0" fillId="0" borderId="7" xfId="0" applyNumberFormat="1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49" fontId="0" fillId="0" borderId="7" xfId="0" applyNumberFormat="1" applyBorder="1" applyAlignment="1">
      <alignment horizontal="right" vertical="top"/>
    </xf>
    <xf numFmtId="49" fontId="0" fillId="0" borderId="5" xfId="0" applyNumberFormat="1" applyBorder="1" applyAlignment="1">
      <alignment horizontal="right" vertical="top"/>
    </xf>
    <xf numFmtId="166" fontId="0" fillId="4" borderId="5" xfId="0" applyNumberFormat="1" applyFill="1" applyBorder="1" applyAlignment="1">
      <alignment horizontal="right" vertical="top"/>
    </xf>
    <xf numFmtId="167" fontId="0" fillId="0" borderId="7" xfId="0" applyNumberFormat="1" applyBorder="1" applyAlignment="1">
      <alignment horizontal="right" vertical="top"/>
    </xf>
    <xf numFmtId="167" fontId="0" fillId="0" borderId="5" xfId="0" applyNumberFormat="1" applyBorder="1" applyAlignment="1">
      <alignment horizontal="right" vertical="top"/>
    </xf>
    <xf numFmtId="0" fontId="1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/>
    </xf>
    <xf numFmtId="0" fontId="0" fillId="0" borderId="7" xfId="0" applyBorder="1" applyAlignment="1">
      <alignment horizontal="right" vertical="top"/>
    </xf>
    <xf numFmtId="168" fontId="0" fillId="0" borderId="5" xfId="0" applyNumberFormat="1" applyBorder="1" applyAlignment="1">
      <alignment horizontal="right" vertical="top"/>
    </xf>
    <xf numFmtId="168" fontId="0" fillId="4" borderId="5" xfId="0" applyNumberFormat="1" applyFill="1" applyBorder="1" applyAlignment="1">
      <alignment horizontal="right" vertical="top"/>
    </xf>
    <xf numFmtId="0" fontId="0" fillId="0" borderId="7" xfId="0" applyBorder="1" applyAlignment="1">
      <alignment vertical="top"/>
    </xf>
    <xf numFmtId="165" fontId="0" fillId="0" borderId="7" xfId="0" applyNumberFormat="1" applyBorder="1" applyAlignment="1">
      <alignment vertical="top"/>
    </xf>
    <xf numFmtId="165" fontId="0" fillId="0" borderId="5" xfId="0" applyNumberFormat="1" applyBorder="1" applyAlignment="1">
      <alignment vertical="top"/>
    </xf>
    <xf numFmtId="0" fontId="0" fillId="4" borderId="5" xfId="0" applyNumberFormat="1" applyFill="1" applyBorder="1" applyAlignment="1">
      <alignment horizontal="right" vertical="top"/>
    </xf>
    <xf numFmtId="169" fontId="0" fillId="4" borderId="5" xfId="0" applyNumberFormat="1" applyFill="1" applyBorder="1" applyAlignment="1">
      <alignment horizontal="right" vertical="top"/>
    </xf>
    <xf numFmtId="3" fontId="0" fillId="0" borderId="7" xfId="0" applyNumberFormat="1" applyBorder="1" applyAlignment="1">
      <alignment vertical="top"/>
    </xf>
    <xf numFmtId="3" fontId="0" fillId="0" borderId="5" xfId="0" applyNumberFormat="1" applyBorder="1" applyAlignment="1">
      <alignment vertical="top"/>
    </xf>
    <xf numFmtId="167" fontId="0" fillId="0" borderId="7" xfId="0" applyNumberFormat="1" applyBorder="1" applyAlignment="1">
      <alignment vertical="top"/>
    </xf>
    <xf numFmtId="167" fontId="0" fillId="0" borderId="5" xfId="0" applyNumberFormat="1" applyBorder="1" applyAlignment="1">
      <alignment vertical="top"/>
    </xf>
    <xf numFmtId="0" fontId="0" fillId="0" borderId="0" xfId="0" applyNumberFormat="1">
      <alignment vertical="top" wrapText="1"/>
    </xf>
    <xf numFmtId="0" fontId="1" fillId="2" borderId="1" xfId="0" applyFont="1" applyFill="1" applyBorder="1">
      <alignment vertical="top" wrapText="1"/>
    </xf>
    <xf numFmtId="49" fontId="1" fillId="2" borderId="1" xfId="0" applyNumberFormat="1" applyFont="1" applyFill="1" applyBorder="1">
      <alignment vertical="top" wrapText="1"/>
    </xf>
    <xf numFmtId="49" fontId="1" fillId="2" borderId="1" xfId="0" applyNumberFormat="1" applyFont="1" applyFill="1" applyBorder="1" applyAlignment="1">
      <alignment horizontal="right" vertical="top" wrapText="1"/>
    </xf>
    <xf numFmtId="49" fontId="2" fillId="3" borderId="2" xfId="0" applyNumberFormat="1" applyFont="1" applyFill="1" applyBorder="1" applyAlignment="1">
      <alignment horizontal="right" vertical="top" wrapText="1"/>
    </xf>
    <xf numFmtId="49" fontId="2" fillId="3" borderId="3" xfId="0" applyNumberFormat="1" applyFont="1" applyFill="1" applyBorder="1">
      <alignment vertical="top" wrapText="1"/>
    </xf>
    <xf numFmtId="0" fontId="2" fillId="0" borderId="4" xfId="0" applyNumberFormat="1" applyFont="1" applyBorder="1" applyAlignment="1">
      <alignment horizontal="right" vertical="top" wrapText="1"/>
    </xf>
    <xf numFmtId="170" fontId="2" fillId="0" borderId="2" xfId="0" applyNumberFormat="1" applyFont="1" applyBorder="1" applyAlignment="1">
      <alignment horizontal="right" vertical="top" wrapText="1"/>
    </xf>
    <xf numFmtId="49" fontId="2" fillId="0" borderId="2" xfId="0" applyNumberFormat="1" applyFont="1" applyBorder="1" applyAlignment="1">
      <alignment horizontal="right" vertical="top" wrapText="1"/>
    </xf>
    <xf numFmtId="0" fontId="2" fillId="0" borderId="2" xfId="0" applyNumberFormat="1" applyFont="1" applyBorder="1" applyAlignment="1">
      <alignment horizontal="right" vertical="top" wrapText="1"/>
    </xf>
    <xf numFmtId="0" fontId="2" fillId="0" borderId="2" xfId="0" applyFont="1" applyBorder="1">
      <alignment vertical="top" wrapText="1"/>
    </xf>
    <xf numFmtId="49" fontId="1" fillId="3" borderId="5" xfId="0" applyNumberFormat="1" applyFont="1" applyFill="1" applyBorder="1" applyAlignment="1">
      <alignment horizontal="right" vertical="top" wrapText="1"/>
    </xf>
    <xf numFmtId="49" fontId="1" fillId="3" borderId="6" xfId="0" applyNumberFormat="1" applyFont="1" applyFill="1" applyBorder="1">
      <alignment vertical="top" wrapText="1"/>
    </xf>
    <xf numFmtId="0" fontId="0" fillId="0" borderId="7" xfId="0" applyNumberFormat="1" applyBorder="1" applyAlignment="1">
      <alignment horizontal="right" vertical="top" wrapText="1"/>
    </xf>
    <xf numFmtId="170" fontId="0" fillId="0" borderId="5" xfId="0" applyNumberFormat="1" applyBorder="1" applyAlignment="1">
      <alignment horizontal="right" vertical="top" wrapText="1"/>
    </xf>
    <xf numFmtId="49" fontId="0" fillId="0" borderId="5" xfId="0" applyNumberFormat="1" applyBorder="1" applyAlignment="1">
      <alignment horizontal="right" vertical="top" wrapText="1"/>
    </xf>
    <xf numFmtId="0" fontId="0" fillId="0" borderId="5" xfId="0" applyNumberFormat="1" applyBorder="1" applyAlignment="1">
      <alignment horizontal="right" vertical="top" wrapText="1"/>
    </xf>
    <xf numFmtId="0" fontId="0" fillId="0" borderId="5" xfId="0" applyBorder="1">
      <alignment vertical="top" wrapText="1"/>
    </xf>
    <xf numFmtId="164" fontId="0" fillId="0" borderId="5" xfId="0" applyNumberFormat="1" applyBorder="1">
      <alignment vertical="top" wrapText="1"/>
    </xf>
    <xf numFmtId="0" fontId="0" fillId="0" borderId="5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1" fillId="3" borderId="5" xfId="0" applyFont="1" applyFill="1" applyBorder="1" applyAlignment="1">
      <alignment horizontal="right" vertical="top" wrapText="1"/>
    </xf>
    <xf numFmtId="0" fontId="1" fillId="3" borderId="6" xfId="0" applyFont="1" applyFill="1" applyBorder="1">
      <alignment vertical="top" wrapText="1"/>
    </xf>
    <xf numFmtId="49" fontId="2" fillId="3" borderId="5" xfId="0" applyNumberFormat="1" applyFont="1" applyFill="1" applyBorder="1" applyAlignment="1">
      <alignment horizontal="right" vertical="top" wrapText="1"/>
    </xf>
    <xf numFmtId="49" fontId="2" fillId="3" borderId="6" xfId="0" applyNumberFormat="1" applyFont="1" applyFill="1" applyBorder="1">
      <alignment vertical="top" wrapText="1"/>
    </xf>
    <xf numFmtId="0" fontId="2" fillId="0" borderId="7" xfId="0" applyNumberFormat="1" applyFont="1" applyBorder="1" applyAlignment="1">
      <alignment horizontal="right" vertical="top" wrapText="1"/>
    </xf>
    <xf numFmtId="170" fontId="2" fillId="0" borderId="5" xfId="0" applyNumberFormat="1" applyFont="1" applyBorder="1" applyAlignment="1">
      <alignment horizontal="right" vertical="top" wrapText="1"/>
    </xf>
    <xf numFmtId="49" fontId="2" fillId="0" borderId="5" xfId="0" applyNumberFormat="1" applyFont="1" applyBorder="1" applyAlignment="1">
      <alignment horizontal="right" vertical="top" wrapText="1"/>
    </xf>
    <xf numFmtId="0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>
      <alignment vertical="top" wrapText="1"/>
    </xf>
    <xf numFmtId="0" fontId="2" fillId="3" borderId="5" xfId="0" applyFont="1" applyFill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6" fontId="2" fillId="4" borderId="5" xfId="0" applyNumberFormat="1" applyFont="1" applyFill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64" fontId="0" fillId="0" borderId="7" xfId="0" applyNumberFormat="1" applyBorder="1" applyAlignment="1">
      <alignment horizontal="right" vertical="top" wrapText="1"/>
    </xf>
    <xf numFmtId="164" fontId="0" fillId="0" borderId="5" xfId="0" applyNumberFormat="1" applyBorder="1" applyAlignment="1">
      <alignment horizontal="right" vertical="top" wrapText="1"/>
    </xf>
    <xf numFmtId="168" fontId="0" fillId="4" borderId="5" xfId="0" applyNumberFormat="1" applyFill="1" applyBorder="1" applyAlignment="1">
      <alignment horizontal="right" vertical="top" wrapText="1"/>
    </xf>
    <xf numFmtId="166" fontId="0" fillId="4" borderId="5" xfId="0" applyNumberFormat="1" applyFill="1" applyBorder="1" applyAlignment="1">
      <alignment horizontal="right" vertical="top" wrapText="1"/>
    </xf>
    <xf numFmtId="166" fontId="0" fillId="0" borderId="5" xfId="0" applyNumberFormat="1" applyBorder="1" applyAlignment="1">
      <alignment horizontal="right" vertical="top" wrapText="1"/>
    </xf>
    <xf numFmtId="49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vertical="top"/>
    </xf>
    <xf numFmtId="49" fontId="3" fillId="2" borderId="1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2">
    <dxf>
      <font>
        <color rgb="FF000000"/>
      </font>
      <fill>
        <patternFill patternType="solid">
          <fgColor indexed="12"/>
          <bgColor indexed="13"/>
        </patternFill>
      </fill>
    </dxf>
    <dxf>
      <font>
        <color rgb="FF000000"/>
      </font>
      <fill>
        <patternFill patternType="solid">
          <fgColor indexed="12"/>
          <bgColor indexed="13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00000000"/>
      <rgbColor rgb="E5FF9781"/>
      <rgbColor rgb="FFDBDBDB"/>
      <rgbColor rgb="FFFF968C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6"/>
  <sheetViews>
    <sheetView showGridLines="0" tabSelected="1" workbookViewId="0">
      <pane ySplit="1" topLeftCell="A2" activePane="bottomLeft" state="frozen"/>
      <selection pane="bottomLeft" activeCell="C3" sqref="C3"/>
    </sheetView>
  </sheetViews>
  <sheetFormatPr baseColWidth="10" defaultColWidth="8.33203125" defaultRowHeight="20" customHeight="1" x14ac:dyDescent="0.15"/>
  <cols>
    <col min="1" max="1" width="29" style="1" customWidth="1"/>
    <col min="2" max="2" width="16.1640625" style="1" customWidth="1"/>
    <col min="3" max="3" width="22.1640625" style="1" customWidth="1"/>
    <col min="4" max="4" width="29" style="1" customWidth="1"/>
    <col min="5" max="5" width="5.33203125" style="1" customWidth="1"/>
    <col min="6" max="7" width="12" style="1" customWidth="1"/>
    <col min="8" max="8" width="4" style="1" customWidth="1"/>
    <col min="9" max="10" width="12" style="1" customWidth="1"/>
    <col min="11" max="11" width="8.33203125" style="1" customWidth="1"/>
    <col min="12" max="16384" width="8.33203125" style="1"/>
  </cols>
  <sheetData>
    <row r="1" spans="1:10" ht="20.25" customHeight="1" x14ac:dyDescent="0.15">
      <c r="A1" s="2" t="s">
        <v>0</v>
      </c>
      <c r="B1" s="3"/>
      <c r="C1" s="84" t="s">
        <v>85</v>
      </c>
      <c r="D1" s="84" t="s">
        <v>86</v>
      </c>
      <c r="E1" s="3"/>
      <c r="F1" s="4" t="s">
        <v>3</v>
      </c>
      <c r="G1" s="4" t="s">
        <v>4</v>
      </c>
      <c r="H1" s="5"/>
      <c r="I1" s="5"/>
      <c r="J1" s="5"/>
    </row>
    <row r="2" spans="1:10" ht="20.25" customHeight="1" x14ac:dyDescent="0.15">
      <c r="B2" s="6" t="s">
        <v>5</v>
      </c>
      <c r="C2" s="7">
        <v>1096366</v>
      </c>
      <c r="D2" s="8">
        <v>869707</v>
      </c>
      <c r="E2" s="9"/>
      <c r="F2" s="10">
        <f>C2/D2-1</f>
        <v>0.26061535666609559</v>
      </c>
      <c r="G2" s="8">
        <f t="shared" ref="G2:G10" si="0">C2-D2</f>
        <v>226659</v>
      </c>
      <c r="H2" s="11"/>
      <c r="I2" s="11"/>
      <c r="J2" s="11"/>
    </row>
    <row r="3" spans="1:10" ht="20" customHeight="1" x14ac:dyDescent="0.15">
      <c r="B3" s="12" t="s">
        <v>6</v>
      </c>
      <c r="C3" s="14">
        <v>4.0599999999999996</v>
      </c>
      <c r="D3" s="15">
        <v>3.62</v>
      </c>
      <c r="E3" s="16"/>
      <c r="F3" s="17"/>
      <c r="G3" s="15">
        <f t="shared" si="0"/>
        <v>0.4399999999999995</v>
      </c>
      <c r="H3" s="17"/>
      <c r="I3" s="17"/>
      <c r="J3" s="17"/>
    </row>
    <row r="4" spans="1:10" ht="20" customHeight="1" x14ac:dyDescent="0.15">
      <c r="B4" s="12" t="s">
        <v>7</v>
      </c>
      <c r="C4" s="18">
        <v>38288</v>
      </c>
      <c r="D4" s="19">
        <v>40933</v>
      </c>
      <c r="E4" s="16"/>
      <c r="F4" s="20">
        <f>C4/D4-1</f>
        <v>-6.4617790047150181E-2</v>
      </c>
      <c r="G4" s="19">
        <f t="shared" si="0"/>
        <v>-2645</v>
      </c>
      <c r="H4" s="17"/>
      <c r="I4" s="17"/>
      <c r="J4" s="17"/>
    </row>
    <row r="5" spans="1:10" ht="20" customHeight="1" x14ac:dyDescent="0.15">
      <c r="B5" s="12" t="s">
        <v>8</v>
      </c>
      <c r="C5" s="21">
        <v>2.2618</v>
      </c>
      <c r="D5" s="22">
        <v>2.0848</v>
      </c>
      <c r="E5" s="16"/>
      <c r="F5" s="20">
        <f>C5/D5-1</f>
        <v>8.4900230237912488E-2</v>
      </c>
      <c r="G5" s="22">
        <f t="shared" si="0"/>
        <v>0.17700000000000005</v>
      </c>
      <c r="H5" s="22"/>
      <c r="I5" s="22"/>
      <c r="J5" s="22"/>
    </row>
    <row r="6" spans="1:10" ht="20" customHeight="1" x14ac:dyDescent="0.15">
      <c r="B6" s="12" t="s">
        <v>9</v>
      </c>
      <c r="C6" s="23" t="s">
        <v>10</v>
      </c>
      <c r="D6" s="24" t="s">
        <v>11</v>
      </c>
      <c r="E6" s="16"/>
      <c r="F6" s="17"/>
      <c r="G6" s="25">
        <f t="shared" si="0"/>
        <v>-6.0185185185185255E-4</v>
      </c>
      <c r="H6" s="17"/>
      <c r="I6" s="17"/>
      <c r="J6" s="17"/>
    </row>
    <row r="7" spans="1:10" ht="20" customHeight="1" x14ac:dyDescent="0.15">
      <c r="B7" s="12" t="s">
        <v>12</v>
      </c>
      <c r="C7" s="18">
        <v>86600</v>
      </c>
      <c r="D7" s="19">
        <v>85339</v>
      </c>
      <c r="E7" s="16"/>
      <c r="F7" s="20">
        <f>C7/D7-1</f>
        <v>1.4776362507177287E-2</v>
      </c>
      <c r="G7" s="19">
        <f t="shared" si="0"/>
        <v>1261</v>
      </c>
      <c r="H7" s="17"/>
      <c r="I7" s="17"/>
      <c r="J7" s="17"/>
    </row>
    <row r="8" spans="1:10" ht="20" customHeight="1" x14ac:dyDescent="0.15">
      <c r="B8" s="12" t="s">
        <v>13</v>
      </c>
      <c r="C8" s="26">
        <v>11756.612800000001</v>
      </c>
      <c r="D8" s="27">
        <v>12808.3225</v>
      </c>
      <c r="E8" s="16"/>
      <c r="F8" s="20">
        <f>C8/D8-1</f>
        <v>-8.2111431844412053E-2</v>
      </c>
      <c r="G8" s="27">
        <f t="shared" si="0"/>
        <v>-1051.7096999999994</v>
      </c>
      <c r="H8" s="17"/>
      <c r="I8" s="17"/>
      <c r="J8" s="17"/>
    </row>
    <row r="9" spans="1:10" ht="20" customHeight="1" x14ac:dyDescent="0.15">
      <c r="B9" s="12" t="s">
        <v>14</v>
      </c>
      <c r="C9" s="14">
        <v>844</v>
      </c>
      <c r="D9" s="15">
        <v>726</v>
      </c>
      <c r="E9" s="16"/>
      <c r="F9" s="20">
        <f>C9/D9-1</f>
        <v>0.16253443526170797</v>
      </c>
      <c r="G9" s="15">
        <f t="shared" si="0"/>
        <v>118</v>
      </c>
      <c r="H9" s="17"/>
      <c r="I9" s="17"/>
      <c r="J9" s="17"/>
    </row>
    <row r="10" spans="1:10" ht="20" customHeight="1" x14ac:dyDescent="0.15">
      <c r="B10" s="12" t="s">
        <v>15</v>
      </c>
      <c r="C10" s="14">
        <v>765.83799999999997</v>
      </c>
      <c r="D10" s="15">
        <v>646.14</v>
      </c>
      <c r="E10" s="16"/>
      <c r="F10" s="20">
        <f>C10/D10-1</f>
        <v>0.18525087442349952</v>
      </c>
      <c r="G10" s="15">
        <f t="shared" si="0"/>
        <v>119.69799999999998</v>
      </c>
      <c r="H10" s="17"/>
      <c r="I10" s="17"/>
      <c r="J10" s="17"/>
    </row>
    <row r="11" spans="1:10" ht="20" customHeight="1" x14ac:dyDescent="0.15">
      <c r="A11" s="28"/>
      <c r="B11" s="29"/>
      <c r="C11" s="30"/>
      <c r="D11" s="17"/>
      <c r="E11" s="16"/>
      <c r="F11" s="17"/>
      <c r="G11" s="17"/>
      <c r="H11" s="17"/>
      <c r="I11" s="17"/>
      <c r="J11" s="17"/>
    </row>
    <row r="12" spans="1:10" ht="20" customHeight="1" x14ac:dyDescent="0.15">
      <c r="A12" s="12" t="s">
        <v>9</v>
      </c>
      <c r="B12" s="13" t="s">
        <v>16</v>
      </c>
      <c r="C12" s="23" t="s">
        <v>17</v>
      </c>
      <c r="D12" s="24" t="s">
        <v>18</v>
      </c>
      <c r="E12" s="16"/>
      <c r="F12" s="17"/>
      <c r="G12" s="31">
        <f t="shared" ref="G12:G17" si="1">C12-D12</f>
        <v>1.1689814814814818E-3</v>
      </c>
      <c r="H12" s="17"/>
      <c r="I12" s="17"/>
      <c r="J12" s="17"/>
    </row>
    <row r="13" spans="1:10" ht="20" customHeight="1" x14ac:dyDescent="0.15">
      <c r="A13" s="12" t="s">
        <v>9</v>
      </c>
      <c r="B13" s="13" t="s">
        <v>19</v>
      </c>
      <c r="C13" s="23" t="s">
        <v>20</v>
      </c>
      <c r="D13" s="24" t="s">
        <v>21</v>
      </c>
      <c r="E13" s="16"/>
      <c r="F13" s="17"/>
      <c r="G13" s="25">
        <f t="shared" si="1"/>
        <v>-2.7777777777777783E-4</v>
      </c>
      <c r="H13" s="17"/>
      <c r="I13" s="17"/>
      <c r="J13" s="17"/>
    </row>
    <row r="14" spans="1:10" ht="20" customHeight="1" x14ac:dyDescent="0.15">
      <c r="A14" s="12" t="s">
        <v>9</v>
      </c>
      <c r="B14" s="13" t="s">
        <v>22</v>
      </c>
      <c r="C14" s="23" t="s">
        <v>23</v>
      </c>
      <c r="D14" s="24" t="s">
        <v>24</v>
      </c>
      <c r="E14" s="16"/>
      <c r="F14" s="17"/>
      <c r="G14" s="25">
        <f t="shared" si="1"/>
        <v>-5.4398148148148123E-4</v>
      </c>
      <c r="H14" s="17"/>
      <c r="I14" s="17"/>
      <c r="J14" s="17"/>
    </row>
    <row r="15" spans="1:10" ht="20" customHeight="1" x14ac:dyDescent="0.15">
      <c r="A15" s="12" t="s">
        <v>9</v>
      </c>
      <c r="B15" s="13" t="s">
        <v>25</v>
      </c>
      <c r="C15" s="23" t="s">
        <v>26</v>
      </c>
      <c r="D15" s="24" t="s">
        <v>27</v>
      </c>
      <c r="E15" s="16"/>
      <c r="F15" s="17"/>
      <c r="G15" s="32">
        <f t="shared" si="1"/>
        <v>-1.6550925925925926E-3</v>
      </c>
      <c r="H15" s="17"/>
      <c r="I15" s="17"/>
      <c r="J15" s="17"/>
    </row>
    <row r="16" spans="1:10" ht="20" customHeight="1" x14ac:dyDescent="0.15">
      <c r="A16" s="12" t="s">
        <v>9</v>
      </c>
      <c r="B16" s="13" t="s">
        <v>28</v>
      </c>
      <c r="C16" s="23" t="s">
        <v>29</v>
      </c>
      <c r="D16" s="24" t="s">
        <v>30</v>
      </c>
      <c r="E16" s="16"/>
      <c r="F16" s="17"/>
      <c r="G16" s="25">
        <f t="shared" si="1"/>
        <v>-2.5462962962962982E-4</v>
      </c>
      <c r="H16" s="17"/>
      <c r="I16" s="17"/>
      <c r="J16" s="17"/>
    </row>
    <row r="17" spans="1:10" ht="20" customHeight="1" x14ac:dyDescent="0.15">
      <c r="A17" s="12" t="s">
        <v>9</v>
      </c>
      <c r="B17" s="13" t="s">
        <v>31</v>
      </c>
      <c r="C17" s="23" t="s">
        <v>32</v>
      </c>
      <c r="D17" s="24" t="s">
        <v>33</v>
      </c>
      <c r="E17" s="16"/>
      <c r="F17" s="17"/>
      <c r="G17" s="25">
        <f t="shared" si="1"/>
        <v>-2.3148148148148182E-4</v>
      </c>
      <c r="H17" s="17"/>
      <c r="I17" s="17"/>
      <c r="J17" s="17"/>
    </row>
    <row r="18" spans="1:10" ht="20" customHeight="1" x14ac:dyDescent="0.15">
      <c r="A18" s="28"/>
      <c r="B18" s="29"/>
      <c r="C18" s="33"/>
      <c r="D18" s="17"/>
      <c r="E18" s="16"/>
      <c r="F18" s="17"/>
      <c r="G18" s="17"/>
      <c r="H18" s="17"/>
      <c r="I18" s="17"/>
      <c r="J18" s="17"/>
    </row>
    <row r="19" spans="1:10" ht="20" customHeight="1" x14ac:dyDescent="0.15">
      <c r="A19" s="12" t="s">
        <v>34</v>
      </c>
      <c r="B19" s="13" t="s">
        <v>16</v>
      </c>
      <c r="C19" s="34">
        <v>0.87</v>
      </c>
      <c r="D19" s="35">
        <v>1.71</v>
      </c>
      <c r="E19" s="16"/>
      <c r="F19" s="17"/>
      <c r="G19" s="22">
        <f t="shared" ref="G19:G24" si="2">C19-D19</f>
        <v>-0.84</v>
      </c>
      <c r="H19" s="17"/>
      <c r="I19" s="17"/>
      <c r="J19" s="17"/>
    </row>
    <row r="20" spans="1:10" ht="20" customHeight="1" x14ac:dyDescent="0.15">
      <c r="A20" s="12" t="s">
        <v>34</v>
      </c>
      <c r="B20" s="13" t="s">
        <v>19</v>
      </c>
      <c r="C20" s="34">
        <v>17.29</v>
      </c>
      <c r="D20" s="35">
        <v>20.04</v>
      </c>
      <c r="E20" s="16"/>
      <c r="F20" s="17"/>
      <c r="G20" s="22">
        <f t="shared" si="2"/>
        <v>-2.75</v>
      </c>
      <c r="H20" s="17"/>
      <c r="I20" s="17"/>
      <c r="J20" s="17"/>
    </row>
    <row r="21" spans="1:10" ht="20" customHeight="1" x14ac:dyDescent="0.15">
      <c r="A21" s="12" t="s">
        <v>34</v>
      </c>
      <c r="B21" s="13" t="s">
        <v>22</v>
      </c>
      <c r="C21" s="34">
        <v>25.68</v>
      </c>
      <c r="D21" s="35">
        <v>26.59</v>
      </c>
      <c r="E21" s="16"/>
      <c r="F21" s="17"/>
      <c r="G21" s="22">
        <f t="shared" si="2"/>
        <v>-0.91000000000000014</v>
      </c>
      <c r="H21" s="17"/>
      <c r="I21" s="17"/>
      <c r="J21" s="17"/>
    </row>
    <row r="22" spans="1:10" ht="20" customHeight="1" x14ac:dyDescent="0.15">
      <c r="A22" s="12" t="s">
        <v>34</v>
      </c>
      <c r="B22" s="13" t="s">
        <v>25</v>
      </c>
      <c r="C22" s="34">
        <v>20.8</v>
      </c>
      <c r="D22" s="35">
        <v>20.41</v>
      </c>
      <c r="E22" s="16"/>
      <c r="F22" s="17"/>
      <c r="G22" s="22">
        <f t="shared" si="2"/>
        <v>0.39000000000000057</v>
      </c>
      <c r="H22" s="17"/>
      <c r="I22" s="17"/>
      <c r="J22" s="17"/>
    </row>
    <row r="23" spans="1:10" ht="20" customHeight="1" x14ac:dyDescent="0.15">
      <c r="A23" s="12" t="s">
        <v>34</v>
      </c>
      <c r="B23" s="13" t="s">
        <v>28</v>
      </c>
      <c r="C23" s="34">
        <v>21.4</v>
      </c>
      <c r="D23" s="35">
        <v>18.2</v>
      </c>
      <c r="E23" s="16"/>
      <c r="F23" s="17"/>
      <c r="G23" s="22">
        <f t="shared" si="2"/>
        <v>3.1999999999999993</v>
      </c>
      <c r="H23" s="17"/>
      <c r="I23" s="17"/>
      <c r="J23" s="17"/>
    </row>
    <row r="24" spans="1:10" ht="20" customHeight="1" x14ac:dyDescent="0.15">
      <c r="A24" s="12" t="s">
        <v>34</v>
      </c>
      <c r="B24" s="13" t="s">
        <v>31</v>
      </c>
      <c r="C24" s="34">
        <v>13.95</v>
      </c>
      <c r="D24" s="35">
        <v>13.05</v>
      </c>
      <c r="E24" s="16"/>
      <c r="F24" s="17"/>
      <c r="G24" s="22">
        <f t="shared" si="2"/>
        <v>0.89999999999999858</v>
      </c>
      <c r="H24" s="17"/>
      <c r="I24" s="82" t="s">
        <v>35</v>
      </c>
      <c r="J24" s="83"/>
    </row>
    <row r="25" spans="1:10" ht="20" customHeight="1" x14ac:dyDescent="0.15">
      <c r="A25" s="28"/>
      <c r="B25" s="29"/>
      <c r="C25" s="30"/>
      <c r="D25" s="17"/>
      <c r="E25" s="16"/>
      <c r="F25" s="17"/>
      <c r="G25" s="17"/>
      <c r="H25" s="17"/>
      <c r="I25" s="17"/>
      <c r="J25" s="17"/>
    </row>
    <row r="26" spans="1:10" ht="20" customHeight="1" x14ac:dyDescent="0.15">
      <c r="A26" s="12" t="s">
        <v>36</v>
      </c>
      <c r="B26" s="13" t="s">
        <v>16</v>
      </c>
      <c r="C26" s="34">
        <v>0.53</v>
      </c>
      <c r="D26" s="35">
        <v>0.62</v>
      </c>
      <c r="E26" s="16"/>
      <c r="F26" s="17"/>
      <c r="G26" s="22">
        <f t="shared" ref="G26:G31" si="3">C26-D26</f>
        <v>-8.9999999999999969E-2</v>
      </c>
      <c r="H26" s="17"/>
      <c r="I26" s="36">
        <f t="shared" ref="I26:J31" si="4">C26-C19</f>
        <v>-0.33999999999999997</v>
      </c>
      <c r="J26" s="36">
        <f t="shared" si="4"/>
        <v>-1.0899999999999999</v>
      </c>
    </row>
    <row r="27" spans="1:10" ht="20" customHeight="1" x14ac:dyDescent="0.15">
      <c r="A27" s="12" t="s">
        <v>36</v>
      </c>
      <c r="B27" s="13" t="s">
        <v>19</v>
      </c>
      <c r="C27" s="34">
        <v>15.57</v>
      </c>
      <c r="D27" s="35">
        <v>17.329999999999998</v>
      </c>
      <c r="E27" s="16"/>
      <c r="F27" s="17"/>
      <c r="G27" s="22">
        <f t="shared" si="3"/>
        <v>-1.759999999999998</v>
      </c>
      <c r="H27" s="17"/>
      <c r="I27" s="36">
        <f t="shared" si="4"/>
        <v>-1.7199999999999989</v>
      </c>
      <c r="J27" s="36">
        <f t="shared" si="4"/>
        <v>-2.7100000000000009</v>
      </c>
    </row>
    <row r="28" spans="1:10" ht="20" customHeight="1" x14ac:dyDescent="0.15">
      <c r="A28" s="12" t="s">
        <v>36</v>
      </c>
      <c r="B28" s="13" t="s">
        <v>22</v>
      </c>
      <c r="C28" s="34">
        <v>26.01</v>
      </c>
      <c r="D28" s="35">
        <v>26.88</v>
      </c>
      <c r="E28" s="16"/>
      <c r="F28" s="17"/>
      <c r="G28" s="22">
        <f t="shared" si="3"/>
        <v>-0.86999999999999744</v>
      </c>
      <c r="H28" s="17"/>
      <c r="I28" s="22">
        <f t="shared" si="4"/>
        <v>0.33000000000000185</v>
      </c>
      <c r="J28" s="22">
        <f t="shared" si="4"/>
        <v>0.28999999999999915</v>
      </c>
    </row>
    <row r="29" spans="1:10" ht="20" customHeight="1" x14ac:dyDescent="0.15">
      <c r="A29" s="12" t="s">
        <v>36</v>
      </c>
      <c r="B29" s="13" t="s">
        <v>25</v>
      </c>
      <c r="C29" s="34">
        <v>20.93</v>
      </c>
      <c r="D29" s="35">
        <v>24.23</v>
      </c>
      <c r="E29" s="16"/>
      <c r="F29" s="17"/>
      <c r="G29" s="22">
        <f t="shared" si="3"/>
        <v>-3.3000000000000007</v>
      </c>
      <c r="H29" s="17"/>
      <c r="I29" s="22">
        <f t="shared" si="4"/>
        <v>0.12999999999999901</v>
      </c>
      <c r="J29" s="22">
        <f t="shared" si="4"/>
        <v>3.8200000000000003</v>
      </c>
    </row>
    <row r="30" spans="1:10" ht="20" customHeight="1" x14ac:dyDescent="0.15">
      <c r="A30" s="12" t="s">
        <v>36</v>
      </c>
      <c r="B30" s="13" t="s">
        <v>28</v>
      </c>
      <c r="C30" s="34">
        <v>23.19</v>
      </c>
      <c r="D30" s="35">
        <v>18.72</v>
      </c>
      <c r="E30" s="16"/>
      <c r="F30" s="17"/>
      <c r="G30" s="22">
        <f t="shared" si="3"/>
        <v>4.4700000000000024</v>
      </c>
      <c r="H30" s="17"/>
      <c r="I30" s="22">
        <f t="shared" si="4"/>
        <v>1.7900000000000027</v>
      </c>
      <c r="J30" s="22">
        <f t="shared" si="4"/>
        <v>0.51999999999999957</v>
      </c>
    </row>
    <row r="31" spans="1:10" ht="20" customHeight="1" x14ac:dyDescent="0.15">
      <c r="A31" s="12" t="s">
        <v>36</v>
      </c>
      <c r="B31" s="13" t="s">
        <v>31</v>
      </c>
      <c r="C31" s="34">
        <v>13.76</v>
      </c>
      <c r="D31" s="35">
        <v>12.22</v>
      </c>
      <c r="E31" s="16"/>
      <c r="F31" s="17"/>
      <c r="G31" s="22">
        <f t="shared" si="3"/>
        <v>1.5399999999999991</v>
      </c>
      <c r="H31" s="17"/>
      <c r="I31" s="36">
        <f t="shared" si="4"/>
        <v>-0.1899999999999995</v>
      </c>
      <c r="J31" s="36">
        <f t="shared" si="4"/>
        <v>-0.83000000000000007</v>
      </c>
    </row>
    <row r="32" spans="1:10" ht="20" customHeight="1" x14ac:dyDescent="0.15">
      <c r="A32" s="28"/>
      <c r="B32" s="29"/>
      <c r="C32" s="30"/>
      <c r="D32" s="17"/>
      <c r="E32" s="16"/>
      <c r="F32" s="17"/>
      <c r="G32" s="17"/>
      <c r="H32" s="17"/>
      <c r="I32" s="17"/>
      <c r="J32" s="17"/>
    </row>
    <row r="33" spans="1:10" ht="20" customHeight="1" x14ac:dyDescent="0.15">
      <c r="A33" s="12" t="s">
        <v>9</v>
      </c>
      <c r="B33" s="13" t="s">
        <v>37</v>
      </c>
      <c r="C33" s="23" t="s">
        <v>38</v>
      </c>
      <c r="D33" s="24" t="s">
        <v>39</v>
      </c>
      <c r="E33" s="16"/>
      <c r="F33" s="17"/>
      <c r="G33" s="25">
        <f>C33-D33</f>
        <v>-4.2824074074074032E-4</v>
      </c>
      <c r="H33" s="17"/>
      <c r="I33" s="17"/>
      <c r="J33" s="17"/>
    </row>
    <row r="34" spans="1:10" ht="20" customHeight="1" x14ac:dyDescent="0.15">
      <c r="A34" s="12" t="s">
        <v>9</v>
      </c>
      <c r="B34" s="13" t="s">
        <v>40</v>
      </c>
      <c r="C34" s="23" t="s">
        <v>38</v>
      </c>
      <c r="D34" s="24" t="s">
        <v>29</v>
      </c>
      <c r="E34" s="16"/>
      <c r="F34" s="17"/>
      <c r="G34" s="37">
        <f>C34-D34</f>
        <v>-6.9444444444444371E-4</v>
      </c>
      <c r="H34" s="17"/>
      <c r="I34" s="17"/>
      <c r="J34" s="17"/>
    </row>
    <row r="35" spans="1:10" ht="20" customHeight="1" x14ac:dyDescent="0.15">
      <c r="A35" s="28"/>
      <c r="B35" s="29"/>
      <c r="C35" s="30"/>
      <c r="D35" s="17"/>
      <c r="E35" s="16"/>
      <c r="F35" s="17"/>
      <c r="G35" s="17"/>
      <c r="H35" s="17"/>
      <c r="I35" s="17"/>
      <c r="J35" s="17"/>
    </row>
    <row r="36" spans="1:10" ht="20" customHeight="1" x14ac:dyDescent="0.15">
      <c r="A36" s="12" t="s">
        <v>34</v>
      </c>
      <c r="B36" s="13" t="s">
        <v>37</v>
      </c>
      <c r="C36" s="34">
        <v>26.89</v>
      </c>
      <c r="D36" s="35">
        <v>27.45</v>
      </c>
      <c r="E36" s="16"/>
      <c r="F36" s="17"/>
      <c r="G36" s="22">
        <f>C36-D36</f>
        <v>-0.55999999999999872</v>
      </c>
      <c r="H36" s="17"/>
      <c r="I36" s="17"/>
      <c r="J36" s="17"/>
    </row>
    <row r="37" spans="1:10" ht="20" customHeight="1" x14ac:dyDescent="0.15">
      <c r="A37" s="12" t="s">
        <v>34</v>
      </c>
      <c r="B37" s="13" t="s">
        <v>40</v>
      </c>
      <c r="C37" s="34">
        <v>73.11</v>
      </c>
      <c r="D37" s="35">
        <v>72.55</v>
      </c>
      <c r="E37" s="16"/>
      <c r="F37" s="17"/>
      <c r="G37" s="22">
        <f>C37-D37</f>
        <v>0.56000000000000227</v>
      </c>
      <c r="H37" s="17"/>
      <c r="I37" s="17"/>
      <c r="J37" s="17"/>
    </row>
    <row r="38" spans="1:10" ht="20" customHeight="1" x14ac:dyDescent="0.15">
      <c r="A38" s="28"/>
      <c r="B38" s="29"/>
      <c r="C38" s="30"/>
      <c r="D38" s="17"/>
      <c r="E38" s="16"/>
      <c r="F38" s="17"/>
      <c r="G38" s="17"/>
      <c r="H38" s="17"/>
      <c r="I38" s="17"/>
      <c r="J38" s="17"/>
    </row>
    <row r="39" spans="1:10" ht="20" customHeight="1" x14ac:dyDescent="0.15">
      <c r="A39" s="12" t="s">
        <v>36</v>
      </c>
      <c r="B39" s="13" t="s">
        <v>37</v>
      </c>
      <c r="C39" s="34">
        <v>26.86</v>
      </c>
      <c r="D39" s="35">
        <v>26.56</v>
      </c>
      <c r="E39" s="16"/>
      <c r="F39" s="17"/>
      <c r="G39" s="22">
        <f>C39-D39</f>
        <v>0.30000000000000071</v>
      </c>
      <c r="H39" s="17"/>
      <c r="I39" s="17"/>
      <c r="J39" s="17"/>
    </row>
    <row r="40" spans="1:10" ht="20" customHeight="1" x14ac:dyDescent="0.15">
      <c r="A40" s="12" t="s">
        <v>36</v>
      </c>
      <c r="B40" s="13" t="s">
        <v>40</v>
      </c>
      <c r="C40" s="34">
        <v>73.14</v>
      </c>
      <c r="D40" s="35">
        <v>73.44</v>
      </c>
      <c r="E40" s="16"/>
      <c r="F40" s="17"/>
      <c r="G40" s="22">
        <f>C40-D40</f>
        <v>-0.29999999999999716</v>
      </c>
      <c r="H40" s="17"/>
      <c r="I40" s="17"/>
      <c r="J40" s="17"/>
    </row>
    <row r="41" spans="1:10" ht="20" customHeight="1" x14ac:dyDescent="0.15">
      <c r="A41" s="28"/>
      <c r="B41" s="29"/>
      <c r="C41" s="30"/>
      <c r="D41" s="17"/>
      <c r="E41" s="16"/>
      <c r="F41" s="17"/>
      <c r="G41" s="17"/>
      <c r="H41" s="17"/>
      <c r="I41" s="17"/>
      <c r="J41" s="17"/>
    </row>
    <row r="42" spans="1:10" ht="20" customHeight="1" x14ac:dyDescent="0.15">
      <c r="A42" s="12" t="s">
        <v>9</v>
      </c>
      <c r="B42" s="13" t="s">
        <v>41</v>
      </c>
      <c r="C42" s="23" t="s">
        <v>42</v>
      </c>
      <c r="D42" s="24" t="s">
        <v>39</v>
      </c>
      <c r="E42" s="16"/>
      <c r="F42" s="17"/>
      <c r="G42" s="25">
        <f>C42-D42</f>
        <v>-3.5879629629629629E-4</v>
      </c>
      <c r="H42" s="17"/>
      <c r="I42" s="17"/>
      <c r="J42" s="17"/>
    </row>
    <row r="43" spans="1:10" ht="20" customHeight="1" x14ac:dyDescent="0.15">
      <c r="A43" s="12" t="s">
        <v>9</v>
      </c>
      <c r="B43" s="13" t="s">
        <v>43</v>
      </c>
      <c r="C43" s="23" t="s">
        <v>44</v>
      </c>
      <c r="D43" s="24" t="s">
        <v>45</v>
      </c>
      <c r="E43" s="16"/>
      <c r="F43" s="17"/>
      <c r="G43" s="32">
        <f>C43-D43</f>
        <v>-1.9675925925925928E-3</v>
      </c>
      <c r="H43" s="17"/>
      <c r="I43" s="17"/>
      <c r="J43" s="17"/>
    </row>
    <row r="44" spans="1:10" ht="20" customHeight="1" x14ac:dyDescent="0.15">
      <c r="A44" s="28"/>
      <c r="B44" s="29"/>
      <c r="C44" s="30"/>
      <c r="D44" s="17"/>
      <c r="E44" s="16"/>
      <c r="F44" s="17"/>
      <c r="G44" s="17"/>
      <c r="H44" s="17"/>
      <c r="I44" s="17"/>
      <c r="J44" s="17"/>
    </row>
    <row r="45" spans="1:10" ht="20" customHeight="1" x14ac:dyDescent="0.15">
      <c r="A45" s="12" t="s">
        <v>12</v>
      </c>
      <c r="B45" s="13" t="s">
        <v>41</v>
      </c>
      <c r="C45" s="38">
        <v>64700</v>
      </c>
      <c r="D45" s="39">
        <v>69651</v>
      </c>
      <c r="E45" s="16"/>
      <c r="F45" s="20">
        <f>C45/D45-1</f>
        <v>-7.1082970811617963E-2</v>
      </c>
      <c r="G45" s="19">
        <f>C45-D45</f>
        <v>-4951</v>
      </c>
      <c r="H45" s="17"/>
      <c r="I45" s="17"/>
      <c r="J45" s="17"/>
    </row>
    <row r="46" spans="1:10" ht="20" customHeight="1" x14ac:dyDescent="0.15">
      <c r="A46" s="12" t="s">
        <v>12</v>
      </c>
      <c r="B46" s="13" t="s">
        <v>43</v>
      </c>
      <c r="C46" s="38">
        <v>21900</v>
      </c>
      <c r="D46" s="39">
        <v>15688</v>
      </c>
      <c r="E46" s="16"/>
      <c r="F46" s="20">
        <f>C46/D46-1</f>
        <v>0.39597144314125443</v>
      </c>
      <c r="G46" s="19">
        <f>C46-D46</f>
        <v>6212</v>
      </c>
      <c r="H46" s="17"/>
      <c r="I46" s="17"/>
      <c r="J46" s="17"/>
    </row>
    <row r="47" spans="1:10" ht="20" customHeight="1" x14ac:dyDescent="0.15">
      <c r="A47" s="28"/>
      <c r="B47" s="29"/>
      <c r="C47" s="30"/>
      <c r="D47" s="17"/>
      <c r="E47" s="16"/>
      <c r="F47" s="17"/>
      <c r="G47" s="17"/>
      <c r="H47" s="17"/>
      <c r="I47" s="17"/>
      <c r="J47" s="17"/>
    </row>
    <row r="48" spans="1:10" ht="20" customHeight="1" x14ac:dyDescent="0.15">
      <c r="A48" s="12" t="s">
        <v>13</v>
      </c>
      <c r="B48" s="13" t="s">
        <v>41</v>
      </c>
      <c r="C48" s="40">
        <v>8496.3780999999999</v>
      </c>
      <c r="D48" s="41">
        <v>9735.6741999999995</v>
      </c>
      <c r="E48" s="16"/>
      <c r="F48" s="20">
        <f>C48/D48-1</f>
        <v>-0.12729432749505931</v>
      </c>
      <c r="G48" s="27">
        <f>C48-D48</f>
        <v>-1239.2960999999996</v>
      </c>
      <c r="H48" s="17"/>
      <c r="I48" s="17"/>
      <c r="J48" s="17"/>
    </row>
    <row r="49" spans="1:10" ht="20" customHeight="1" x14ac:dyDescent="0.15">
      <c r="A49" s="12" t="s">
        <v>13</v>
      </c>
      <c r="B49" s="13" t="s">
        <v>43</v>
      </c>
      <c r="C49" s="40">
        <v>3260.2347</v>
      </c>
      <c r="D49" s="41">
        <v>3072.6484</v>
      </c>
      <c r="E49" s="16"/>
      <c r="F49" s="20">
        <f>C49/D49-1</f>
        <v>6.1050362937718372E-2</v>
      </c>
      <c r="G49" s="27">
        <f>C49-D49</f>
        <v>187.58629999999994</v>
      </c>
      <c r="H49" s="17"/>
      <c r="I49" s="17"/>
      <c r="J49" s="17"/>
    </row>
    <row r="50" spans="1:10" ht="20" customHeight="1" x14ac:dyDescent="0.15">
      <c r="A50" s="28"/>
      <c r="B50" s="29"/>
      <c r="C50" s="30"/>
      <c r="D50" s="17"/>
      <c r="E50" s="16"/>
      <c r="F50" s="17"/>
      <c r="G50" s="17"/>
      <c r="H50" s="17"/>
      <c r="I50" s="17"/>
      <c r="J50" s="17"/>
    </row>
    <row r="51" spans="1:10" ht="20" customHeight="1" x14ac:dyDescent="0.15">
      <c r="A51" s="28"/>
      <c r="B51" s="29"/>
      <c r="C51" s="30"/>
      <c r="D51" s="17"/>
      <c r="E51" s="16"/>
      <c r="F51" s="17"/>
      <c r="G51" s="17"/>
      <c r="H51" s="17"/>
      <c r="I51" s="17"/>
      <c r="J51" s="17"/>
    </row>
    <row r="52" spans="1:10" ht="20" customHeight="1" x14ac:dyDescent="0.15">
      <c r="A52" s="28"/>
      <c r="B52" s="29"/>
      <c r="C52" s="30"/>
      <c r="D52" s="17"/>
      <c r="E52" s="16"/>
      <c r="F52" s="17"/>
      <c r="G52" s="17"/>
      <c r="H52" s="17"/>
      <c r="I52" s="17"/>
      <c r="J52" s="17"/>
    </row>
    <row r="53" spans="1:10" ht="20" customHeight="1" x14ac:dyDescent="0.15">
      <c r="A53" s="28"/>
      <c r="B53" s="29"/>
      <c r="C53" s="30"/>
      <c r="D53" s="17"/>
      <c r="E53" s="16"/>
      <c r="F53" s="17"/>
      <c r="G53" s="17"/>
      <c r="H53" s="17"/>
      <c r="I53" s="17"/>
      <c r="J53" s="17"/>
    </row>
    <row r="54" spans="1:10" ht="20" customHeight="1" x14ac:dyDescent="0.15">
      <c r="A54" s="28"/>
      <c r="B54" s="29"/>
      <c r="C54" s="30"/>
      <c r="D54" s="17"/>
      <c r="E54" s="16"/>
      <c r="F54" s="17"/>
      <c r="G54" s="17"/>
      <c r="H54" s="17"/>
      <c r="I54" s="17"/>
      <c r="J54" s="17"/>
    </row>
    <row r="55" spans="1:10" ht="20" customHeight="1" x14ac:dyDescent="0.15">
      <c r="A55" s="28"/>
      <c r="B55" s="29"/>
      <c r="C55" s="30"/>
      <c r="D55" s="17"/>
      <c r="E55" s="16"/>
      <c r="F55" s="17"/>
      <c r="G55" s="17"/>
      <c r="H55" s="17"/>
      <c r="I55" s="17"/>
      <c r="J55" s="17"/>
    </row>
    <row r="56" spans="1:10" ht="20" customHeight="1" x14ac:dyDescent="0.15">
      <c r="A56" s="28"/>
      <c r="B56" s="29"/>
      <c r="C56" s="30"/>
      <c r="D56" s="17"/>
      <c r="E56" s="16"/>
      <c r="F56" s="17"/>
      <c r="G56" s="17"/>
      <c r="H56" s="17"/>
      <c r="I56" s="17"/>
      <c r="J56" s="17"/>
    </row>
  </sheetData>
  <mergeCells count="1">
    <mergeCell ref="I24:J24"/>
  </mergeCells>
  <conditionalFormatting sqref="F1:G56">
    <cfRule type="cellIs" dxfId="1" priority="1" stopIfTrue="1" operator="lessThan">
      <formula>0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43"/>
  <sheetViews>
    <sheetView showGridLines="0" workbookViewId="0">
      <pane xSplit="2" ySplit="1" topLeftCell="C16" activePane="bottomRight" state="frozen"/>
      <selection pane="topRight"/>
      <selection pane="bottomLeft"/>
      <selection pane="bottomRight" activeCell="F5" sqref="F5"/>
    </sheetView>
  </sheetViews>
  <sheetFormatPr baseColWidth="10" defaultColWidth="16.33203125" defaultRowHeight="20" customHeight="1" x14ac:dyDescent="0.15"/>
  <cols>
    <col min="1" max="1" width="24.6640625" style="42" customWidth="1"/>
    <col min="2" max="2" width="26.1640625" style="42" customWidth="1"/>
    <col min="3" max="7" width="16.33203125" style="42" customWidth="1"/>
    <col min="8" max="8" width="4.5" style="42" customWidth="1"/>
    <col min="9" max="10" width="11.1640625" style="42" customWidth="1"/>
    <col min="11" max="11" width="13.33203125" style="42" customWidth="1"/>
    <col min="12" max="15" width="16.33203125" style="42" customWidth="1"/>
    <col min="16" max="16384" width="16.33203125" style="42"/>
  </cols>
  <sheetData>
    <row r="1" spans="1:14" ht="32.25" customHeight="1" x14ac:dyDescent="0.15">
      <c r="A1" s="43"/>
      <c r="B1" s="44" t="s">
        <v>46</v>
      </c>
      <c r="C1" s="45" t="s">
        <v>12</v>
      </c>
      <c r="D1" s="45" t="s">
        <v>13</v>
      </c>
      <c r="E1" s="45" t="s">
        <v>9</v>
      </c>
      <c r="F1" s="45" t="s">
        <v>5</v>
      </c>
      <c r="G1" s="45" t="s">
        <v>6</v>
      </c>
      <c r="H1" s="43"/>
      <c r="I1" s="44" t="s">
        <v>47</v>
      </c>
      <c r="J1" s="44" t="s">
        <v>48</v>
      </c>
      <c r="K1" s="44" t="s">
        <v>49</v>
      </c>
      <c r="L1" s="43"/>
      <c r="M1" s="43"/>
      <c r="N1" s="43"/>
    </row>
    <row r="2" spans="1:14" ht="20.25" customHeight="1" x14ac:dyDescent="0.15">
      <c r="A2" s="46" t="s">
        <v>1</v>
      </c>
      <c r="B2" s="47" t="s">
        <v>50</v>
      </c>
      <c r="C2" s="48">
        <v>86600</v>
      </c>
      <c r="D2" s="49">
        <v>11756.612800000001</v>
      </c>
      <c r="E2" s="50" t="s">
        <v>10</v>
      </c>
      <c r="F2" s="51">
        <v>1096366</v>
      </c>
      <c r="G2" s="51">
        <v>4.0599999999999996</v>
      </c>
      <c r="H2" s="52"/>
      <c r="I2" s="52"/>
      <c r="J2" s="52"/>
      <c r="K2" s="52"/>
      <c r="L2" s="52"/>
      <c r="M2" s="52"/>
      <c r="N2" s="52"/>
    </row>
    <row r="3" spans="1:14" ht="20" customHeight="1" x14ac:dyDescent="0.15">
      <c r="A3" s="53" t="s">
        <v>1</v>
      </c>
      <c r="B3" s="54" t="s">
        <v>51</v>
      </c>
      <c r="C3" s="55">
        <v>21156</v>
      </c>
      <c r="D3" s="56">
        <v>2751.4009000000001</v>
      </c>
      <c r="E3" s="57" t="s">
        <v>52</v>
      </c>
      <c r="F3" s="58">
        <v>381295</v>
      </c>
      <c r="G3" s="58">
        <v>4.04</v>
      </c>
      <c r="H3" s="59"/>
      <c r="I3" s="60">
        <f t="shared" ref="I3:I14" si="0">C3/C$2</f>
        <v>0.24429561200923788</v>
      </c>
      <c r="J3" s="60">
        <f t="shared" ref="J3:J14" si="1">D3/D$2</f>
        <v>0.23403006859254563</v>
      </c>
      <c r="K3" s="60">
        <f>F3/F$2</f>
        <v>0.34778075934496328</v>
      </c>
      <c r="L3" s="59"/>
      <c r="M3" s="59"/>
      <c r="N3" s="59"/>
    </row>
    <row r="4" spans="1:14" ht="20" customHeight="1" x14ac:dyDescent="0.15">
      <c r="A4" s="53" t="s">
        <v>1</v>
      </c>
      <c r="B4" s="54" t="s">
        <v>53</v>
      </c>
      <c r="C4" s="55">
        <v>20319</v>
      </c>
      <c r="D4" s="56">
        <v>3693.5479</v>
      </c>
      <c r="E4" s="57" t="s">
        <v>54</v>
      </c>
      <c r="F4" s="58">
        <v>259434</v>
      </c>
      <c r="G4" s="58">
        <v>3.76</v>
      </c>
      <c r="H4" s="59"/>
      <c r="I4" s="60">
        <f t="shared" si="0"/>
        <v>0.23463048498845265</v>
      </c>
      <c r="J4" s="60">
        <f t="shared" si="1"/>
        <v>0.31416769122480581</v>
      </c>
      <c r="K4" s="60">
        <f>F4/F$2</f>
        <v>0.23663083313419059</v>
      </c>
      <c r="L4" s="59"/>
      <c r="M4" s="59"/>
      <c r="N4" s="59"/>
    </row>
    <row r="5" spans="1:14" ht="20" customHeight="1" x14ac:dyDescent="0.15">
      <c r="A5" s="53" t="s">
        <v>1</v>
      </c>
      <c r="B5" s="54" t="s">
        <v>55</v>
      </c>
      <c r="C5" s="55">
        <v>17120</v>
      </c>
      <c r="D5" s="56">
        <v>2120.4137999999998</v>
      </c>
      <c r="E5" s="57" t="s">
        <v>56</v>
      </c>
      <c r="F5" s="58">
        <v>245718</v>
      </c>
      <c r="G5" s="58">
        <v>5.73</v>
      </c>
      <c r="H5" s="59"/>
      <c r="I5" s="60">
        <f t="shared" si="0"/>
        <v>0.19769053117782909</v>
      </c>
      <c r="J5" s="60">
        <f t="shared" si="1"/>
        <v>0.18035924428845693</v>
      </c>
      <c r="K5" s="60">
        <f>F5/F$2</f>
        <v>0.224120412344053</v>
      </c>
      <c r="L5" s="59"/>
      <c r="M5" s="59"/>
      <c r="N5" s="59"/>
    </row>
    <row r="6" spans="1:14" ht="20" customHeight="1" x14ac:dyDescent="0.15">
      <c r="A6" s="53" t="s">
        <v>1</v>
      </c>
      <c r="B6" s="54" t="s">
        <v>57</v>
      </c>
      <c r="C6" s="55">
        <v>11853</v>
      </c>
      <c r="D6" s="56">
        <v>1087.6832999999999</v>
      </c>
      <c r="E6" s="57" t="s">
        <v>58</v>
      </c>
      <c r="F6" s="61"/>
      <c r="G6" s="61"/>
      <c r="H6" s="59"/>
      <c r="I6" s="60">
        <f t="shared" si="0"/>
        <v>0.13687066974595843</v>
      </c>
      <c r="J6" s="60">
        <f t="shared" si="1"/>
        <v>9.2516723864547096E-2</v>
      </c>
      <c r="K6" s="59"/>
      <c r="L6" s="59"/>
      <c r="M6" s="59"/>
      <c r="N6" s="59"/>
    </row>
    <row r="7" spans="1:14" ht="20" customHeight="1" x14ac:dyDescent="0.15">
      <c r="A7" s="53" t="s">
        <v>1</v>
      </c>
      <c r="B7" s="54" t="s">
        <v>59</v>
      </c>
      <c r="C7" s="55">
        <v>7594</v>
      </c>
      <c r="D7" s="56">
        <v>987.41629999999998</v>
      </c>
      <c r="E7" s="57" t="s">
        <v>52</v>
      </c>
      <c r="F7" s="58">
        <v>189641</v>
      </c>
      <c r="G7" s="58">
        <v>2.56</v>
      </c>
      <c r="H7" s="59"/>
      <c r="I7" s="60">
        <f t="shared" si="0"/>
        <v>8.7690531177829101E-2</v>
      </c>
      <c r="J7" s="60">
        <f t="shared" si="1"/>
        <v>8.3988161964473299E-2</v>
      </c>
      <c r="K7" s="60">
        <f>F7/F$2</f>
        <v>0.17297234682578627</v>
      </c>
      <c r="L7" s="59"/>
      <c r="M7" s="59"/>
      <c r="N7" s="59"/>
    </row>
    <row r="8" spans="1:14" ht="20" customHeight="1" x14ac:dyDescent="0.15">
      <c r="A8" s="53" t="s">
        <v>1</v>
      </c>
      <c r="B8" s="54" t="s">
        <v>60</v>
      </c>
      <c r="C8" s="55">
        <v>3355</v>
      </c>
      <c r="D8" s="58">
        <v>302.541</v>
      </c>
      <c r="E8" s="57" t="s">
        <v>61</v>
      </c>
      <c r="F8" s="61"/>
      <c r="G8" s="61"/>
      <c r="H8" s="59"/>
      <c r="I8" s="60">
        <f t="shared" si="0"/>
        <v>3.8741339491916861E-2</v>
      </c>
      <c r="J8" s="60">
        <f t="shared" si="1"/>
        <v>2.5733687512444058E-2</v>
      </c>
      <c r="K8" s="59"/>
      <c r="L8" s="59"/>
      <c r="M8" s="59"/>
      <c r="N8" s="59"/>
    </row>
    <row r="9" spans="1:14" ht="20" customHeight="1" x14ac:dyDescent="0.15">
      <c r="A9" s="53" t="s">
        <v>1</v>
      </c>
      <c r="B9" s="54" t="s">
        <v>62</v>
      </c>
      <c r="C9" s="55">
        <v>2505</v>
      </c>
      <c r="D9" s="56">
        <v>499.73820000000001</v>
      </c>
      <c r="E9" s="57" t="s">
        <v>63</v>
      </c>
      <c r="F9" s="61"/>
      <c r="G9" s="61"/>
      <c r="H9" s="59"/>
      <c r="I9" s="60">
        <f t="shared" si="0"/>
        <v>2.8926096997690533E-2</v>
      </c>
      <c r="J9" s="60">
        <f t="shared" si="1"/>
        <v>4.2506988067175261E-2</v>
      </c>
      <c r="K9" s="59"/>
      <c r="L9" s="59"/>
      <c r="M9" s="59"/>
      <c r="N9" s="59"/>
    </row>
    <row r="10" spans="1:14" ht="20" customHeight="1" x14ac:dyDescent="0.15">
      <c r="A10" s="53" t="s">
        <v>1</v>
      </c>
      <c r="B10" s="54" t="s">
        <v>64</v>
      </c>
      <c r="C10" s="55">
        <v>1526</v>
      </c>
      <c r="D10" s="56">
        <v>223.6825</v>
      </c>
      <c r="E10" s="57" t="s">
        <v>65</v>
      </c>
      <c r="F10" s="58">
        <v>20266</v>
      </c>
      <c r="G10" s="58">
        <v>2.12</v>
      </c>
      <c r="H10" s="59"/>
      <c r="I10" s="60">
        <f t="shared" si="0"/>
        <v>1.7621247113163971E-2</v>
      </c>
      <c r="J10" s="60">
        <f t="shared" si="1"/>
        <v>1.9026100783041865E-2</v>
      </c>
      <c r="K10" s="60">
        <f>F10/F$2</f>
        <v>1.8484703100971757E-2</v>
      </c>
      <c r="L10" s="59"/>
      <c r="M10" s="59"/>
      <c r="N10" s="59"/>
    </row>
    <row r="11" spans="1:14" ht="20" customHeight="1" x14ac:dyDescent="0.15">
      <c r="A11" s="53" t="s">
        <v>1</v>
      </c>
      <c r="B11" s="54" t="s">
        <v>66</v>
      </c>
      <c r="C11" s="55">
        <v>971</v>
      </c>
      <c r="D11" s="56">
        <v>65.674499999999995</v>
      </c>
      <c r="E11" s="57" t="s">
        <v>67</v>
      </c>
      <c r="F11" s="61"/>
      <c r="G11" s="61"/>
      <c r="H11" s="59"/>
      <c r="I11" s="60">
        <f t="shared" si="0"/>
        <v>1.1212471131639723E-2</v>
      </c>
      <c r="J11" s="60">
        <f t="shared" si="1"/>
        <v>5.5861752970209231E-3</v>
      </c>
      <c r="K11" s="59"/>
      <c r="L11" s="59"/>
      <c r="M11" s="59"/>
      <c r="N11" s="59"/>
    </row>
    <row r="12" spans="1:14" ht="20" customHeight="1" x14ac:dyDescent="0.15">
      <c r="A12" s="53" t="s">
        <v>1</v>
      </c>
      <c r="B12" s="54" t="s">
        <v>68</v>
      </c>
      <c r="C12" s="55">
        <v>192</v>
      </c>
      <c r="D12" s="56">
        <v>24.334499999999998</v>
      </c>
      <c r="E12" s="57" t="s">
        <v>69</v>
      </c>
      <c r="F12" s="61"/>
      <c r="G12" s="61"/>
      <c r="H12" s="59"/>
      <c r="I12" s="60">
        <f t="shared" si="0"/>
        <v>2.2170900692840647E-3</v>
      </c>
      <c r="J12" s="60">
        <f t="shared" si="1"/>
        <v>2.069856379041419E-3</v>
      </c>
      <c r="K12" s="59"/>
      <c r="L12" s="59"/>
      <c r="M12" s="59"/>
      <c r="N12" s="59"/>
    </row>
    <row r="13" spans="1:14" ht="20" customHeight="1" x14ac:dyDescent="0.15">
      <c r="A13" s="53" t="s">
        <v>1</v>
      </c>
      <c r="B13" s="54" t="s">
        <v>70</v>
      </c>
      <c r="C13" s="55">
        <v>8</v>
      </c>
      <c r="D13" s="56">
        <v>0.17829999999999999</v>
      </c>
      <c r="E13" s="57" t="s">
        <v>71</v>
      </c>
      <c r="F13" s="61"/>
      <c r="G13" s="61"/>
      <c r="H13" s="59"/>
      <c r="I13" s="60">
        <f t="shared" si="0"/>
        <v>9.2378752886836034E-5</v>
      </c>
      <c r="J13" s="60">
        <f t="shared" si="1"/>
        <v>1.516593282718301E-5</v>
      </c>
      <c r="K13" s="59"/>
      <c r="L13" s="59"/>
      <c r="M13" s="59"/>
      <c r="N13" s="59"/>
    </row>
    <row r="14" spans="1:14" ht="20" customHeight="1" x14ac:dyDescent="0.15">
      <c r="A14" s="53" t="s">
        <v>1</v>
      </c>
      <c r="B14" s="54" t="s">
        <v>72</v>
      </c>
      <c r="C14" s="55">
        <v>1</v>
      </c>
      <c r="D14" s="56">
        <v>1.6999999999999999E-3</v>
      </c>
      <c r="E14" s="57" t="s">
        <v>73</v>
      </c>
      <c r="F14" s="61"/>
      <c r="G14" s="61"/>
      <c r="H14" s="59"/>
      <c r="I14" s="60">
        <f t="shared" si="0"/>
        <v>1.1547344110854504E-5</v>
      </c>
      <c r="J14" s="60">
        <f t="shared" si="1"/>
        <v>1.4459947171178418E-7</v>
      </c>
      <c r="K14" s="59"/>
      <c r="L14" s="59"/>
      <c r="M14" s="59"/>
      <c r="N14" s="59"/>
    </row>
    <row r="15" spans="1:14" ht="20" customHeight="1" x14ac:dyDescent="0.15">
      <c r="A15" s="53" t="s">
        <v>1</v>
      </c>
      <c r="B15" s="54" t="s">
        <v>74</v>
      </c>
      <c r="C15" s="62"/>
      <c r="D15" s="61"/>
      <c r="E15" s="61"/>
      <c r="F15" s="58">
        <v>12</v>
      </c>
      <c r="G15" s="58">
        <v>0</v>
      </c>
      <c r="H15" s="59"/>
      <c r="I15" s="59"/>
      <c r="J15" s="59"/>
      <c r="K15" s="60">
        <f>F15/F$2</f>
        <v>1.0945250035116011E-5</v>
      </c>
      <c r="L15" s="59"/>
      <c r="M15" s="59"/>
      <c r="N15" s="59"/>
    </row>
    <row r="16" spans="1:14" ht="20" customHeight="1" x14ac:dyDescent="0.15">
      <c r="A16" s="63"/>
      <c r="B16" s="64"/>
      <c r="C16" s="62"/>
      <c r="D16" s="61"/>
      <c r="E16" s="61"/>
      <c r="F16" s="61"/>
      <c r="G16" s="61"/>
      <c r="H16" s="59"/>
      <c r="I16" s="59"/>
      <c r="J16" s="59"/>
      <c r="K16" s="59"/>
      <c r="L16" s="59"/>
      <c r="M16" s="59"/>
      <c r="N16" s="59"/>
    </row>
    <row r="17" spans="1:14" ht="20" customHeight="1" x14ac:dyDescent="0.15">
      <c r="A17" s="65" t="s">
        <v>2</v>
      </c>
      <c r="B17" s="66" t="s">
        <v>50</v>
      </c>
      <c r="C17" s="67">
        <v>85339</v>
      </c>
      <c r="D17" s="68">
        <v>12808.3225</v>
      </c>
      <c r="E17" s="69" t="s">
        <v>11</v>
      </c>
      <c r="F17" s="70">
        <v>869707</v>
      </c>
      <c r="G17" s="70">
        <v>3.62</v>
      </c>
      <c r="H17" s="71"/>
      <c r="I17" s="71"/>
      <c r="J17" s="71"/>
      <c r="K17" s="71"/>
      <c r="L17" s="71"/>
      <c r="M17" s="71"/>
      <c r="N17" s="71"/>
    </row>
    <row r="18" spans="1:14" ht="20" customHeight="1" x14ac:dyDescent="0.15">
      <c r="A18" s="53" t="s">
        <v>2</v>
      </c>
      <c r="B18" s="54" t="s">
        <v>51</v>
      </c>
      <c r="C18" s="55">
        <v>16641</v>
      </c>
      <c r="D18" s="56">
        <v>2823.5396000000001</v>
      </c>
      <c r="E18" s="57" t="s">
        <v>75</v>
      </c>
      <c r="F18" s="58">
        <v>202226</v>
      </c>
      <c r="G18" s="58">
        <v>4.47</v>
      </c>
      <c r="H18" s="59"/>
      <c r="I18" s="60">
        <f t="shared" ref="I18:I27" si="2">C18/C$17</f>
        <v>0.1949987696129554</v>
      </c>
      <c r="J18" s="60">
        <f t="shared" ref="J18:J27" si="3">D18/D$17</f>
        <v>0.22044569849018089</v>
      </c>
      <c r="K18" s="60">
        <f>F18/F$17</f>
        <v>0.23252198728997236</v>
      </c>
      <c r="L18" s="59"/>
      <c r="M18" s="59"/>
      <c r="N18" s="59"/>
    </row>
    <row r="19" spans="1:14" ht="20" customHeight="1" x14ac:dyDescent="0.15">
      <c r="A19" s="53" t="s">
        <v>2</v>
      </c>
      <c r="B19" s="54" t="s">
        <v>53</v>
      </c>
      <c r="C19" s="55">
        <v>22740</v>
      </c>
      <c r="D19" s="56">
        <v>4463.7956999999997</v>
      </c>
      <c r="E19" s="57" t="s">
        <v>76</v>
      </c>
      <c r="F19" s="58">
        <v>277506</v>
      </c>
      <c r="G19" s="58">
        <v>3.18</v>
      </c>
      <c r="H19" s="59"/>
      <c r="I19" s="60">
        <f t="shared" si="2"/>
        <v>0.26646667994703477</v>
      </c>
      <c r="J19" s="60">
        <f t="shared" si="3"/>
        <v>0.34850744115788773</v>
      </c>
      <c r="K19" s="60">
        <f>F19/F$17</f>
        <v>0.31907987402653998</v>
      </c>
      <c r="L19" s="59"/>
      <c r="M19" s="59"/>
      <c r="N19" s="59"/>
    </row>
    <row r="20" spans="1:14" ht="20" customHeight="1" x14ac:dyDescent="0.15">
      <c r="A20" s="53" t="s">
        <v>2</v>
      </c>
      <c r="B20" s="54" t="s">
        <v>55</v>
      </c>
      <c r="C20" s="55">
        <v>14475</v>
      </c>
      <c r="D20" s="56">
        <v>2027.7311999999999</v>
      </c>
      <c r="E20" s="57" t="s">
        <v>77</v>
      </c>
      <c r="F20" s="58">
        <v>264709</v>
      </c>
      <c r="G20" s="58">
        <v>3.84</v>
      </c>
      <c r="H20" s="59"/>
      <c r="I20" s="60">
        <f t="shared" si="2"/>
        <v>0.16961764257842252</v>
      </c>
      <c r="J20" s="60">
        <f t="shared" si="3"/>
        <v>0.1583135652619615</v>
      </c>
      <c r="K20" s="60">
        <f>F20/F$17</f>
        <v>0.30436572316883731</v>
      </c>
      <c r="L20" s="59"/>
      <c r="M20" s="59"/>
      <c r="N20" s="59"/>
    </row>
    <row r="21" spans="1:14" ht="20" customHeight="1" x14ac:dyDescent="0.15">
      <c r="A21" s="53" t="s">
        <v>2</v>
      </c>
      <c r="B21" s="54" t="s">
        <v>57</v>
      </c>
      <c r="C21" s="55">
        <v>17878</v>
      </c>
      <c r="D21" s="56">
        <v>1460.3015</v>
      </c>
      <c r="E21" s="57" t="s">
        <v>78</v>
      </c>
      <c r="F21" s="61"/>
      <c r="G21" s="61"/>
      <c r="H21" s="59"/>
      <c r="I21" s="60">
        <f t="shared" si="2"/>
        <v>0.20949390079565028</v>
      </c>
      <c r="J21" s="60">
        <f t="shared" si="3"/>
        <v>0.11401192466851143</v>
      </c>
      <c r="K21" s="59"/>
      <c r="L21" s="59"/>
      <c r="M21" s="59"/>
      <c r="N21" s="59"/>
    </row>
    <row r="22" spans="1:14" ht="20" customHeight="1" x14ac:dyDescent="0.15">
      <c r="A22" s="53" t="s">
        <v>2</v>
      </c>
      <c r="B22" s="54" t="s">
        <v>59</v>
      </c>
      <c r="C22" s="55">
        <v>5656</v>
      </c>
      <c r="D22" s="56">
        <v>834.78959999999995</v>
      </c>
      <c r="E22" s="57" t="s">
        <v>79</v>
      </c>
      <c r="F22" s="58">
        <v>114540</v>
      </c>
      <c r="G22" s="58">
        <v>2.68</v>
      </c>
      <c r="H22" s="59"/>
      <c r="I22" s="60">
        <f t="shared" si="2"/>
        <v>6.6276848803009172E-2</v>
      </c>
      <c r="J22" s="60">
        <f t="shared" si="3"/>
        <v>6.5175560655971923E-2</v>
      </c>
      <c r="K22" s="60">
        <f>F22/F$17</f>
        <v>0.13169952639222174</v>
      </c>
      <c r="L22" s="59"/>
      <c r="M22" s="59"/>
      <c r="N22" s="59"/>
    </row>
    <row r="23" spans="1:14" ht="20" customHeight="1" x14ac:dyDescent="0.15">
      <c r="A23" s="53" t="s">
        <v>2</v>
      </c>
      <c r="B23" s="54" t="s">
        <v>60</v>
      </c>
      <c r="C23" s="55">
        <v>4109</v>
      </c>
      <c r="D23" s="56">
        <v>457.69970000000001</v>
      </c>
      <c r="E23" s="57" t="s">
        <v>80</v>
      </c>
      <c r="F23" s="61"/>
      <c r="G23" s="61"/>
      <c r="H23" s="59"/>
      <c r="I23" s="60">
        <f t="shared" si="2"/>
        <v>4.8149146345750481E-2</v>
      </c>
      <c r="J23" s="60">
        <f t="shared" si="3"/>
        <v>3.573455462259012E-2</v>
      </c>
      <c r="K23" s="59"/>
      <c r="L23" s="59"/>
      <c r="M23" s="59"/>
      <c r="N23" s="59"/>
    </row>
    <row r="24" spans="1:14" ht="20" customHeight="1" x14ac:dyDescent="0.15">
      <c r="A24" s="53" t="s">
        <v>2</v>
      </c>
      <c r="B24" s="54" t="s">
        <v>62</v>
      </c>
      <c r="C24" s="55">
        <v>2169</v>
      </c>
      <c r="D24" s="56">
        <v>485.47190000000001</v>
      </c>
      <c r="E24" s="57" t="s">
        <v>81</v>
      </c>
      <c r="F24" s="61"/>
      <c r="G24" s="61"/>
      <c r="H24" s="59"/>
      <c r="I24" s="60">
        <f t="shared" si="2"/>
        <v>2.5416280950093156E-2</v>
      </c>
      <c r="J24" s="60">
        <f t="shared" si="3"/>
        <v>3.7902847933443277E-2</v>
      </c>
      <c r="K24" s="59"/>
      <c r="L24" s="59"/>
      <c r="M24" s="59"/>
      <c r="N24" s="59"/>
    </row>
    <row r="25" spans="1:14" ht="20" customHeight="1" x14ac:dyDescent="0.15">
      <c r="A25" s="53" t="s">
        <v>2</v>
      </c>
      <c r="B25" s="54" t="s">
        <v>64</v>
      </c>
      <c r="C25" s="55">
        <v>1207</v>
      </c>
      <c r="D25" s="56">
        <v>189.2945</v>
      </c>
      <c r="E25" s="57" t="s">
        <v>82</v>
      </c>
      <c r="F25" s="58">
        <v>10726</v>
      </c>
      <c r="G25" s="58">
        <v>3.77</v>
      </c>
      <c r="H25" s="59"/>
      <c r="I25" s="60">
        <f t="shared" si="2"/>
        <v>1.414359202709195E-2</v>
      </c>
      <c r="J25" s="60">
        <f t="shared" si="3"/>
        <v>1.4779023560657533E-2</v>
      </c>
      <c r="K25" s="60">
        <f>F25/F$17</f>
        <v>1.2332889122428588E-2</v>
      </c>
      <c r="L25" s="59"/>
      <c r="M25" s="59"/>
      <c r="N25" s="59"/>
    </row>
    <row r="26" spans="1:14" ht="20" customHeight="1" x14ac:dyDescent="0.15">
      <c r="A26" s="53" t="s">
        <v>2</v>
      </c>
      <c r="B26" s="54" t="s">
        <v>66</v>
      </c>
      <c r="C26" s="55">
        <v>388</v>
      </c>
      <c r="D26" s="56">
        <v>56.422199999999997</v>
      </c>
      <c r="E26" s="57" t="s">
        <v>83</v>
      </c>
      <c r="F26" s="61"/>
      <c r="G26" s="61"/>
      <c r="H26" s="59"/>
      <c r="I26" s="60">
        <f t="shared" si="2"/>
        <v>4.5465730791314643E-3</v>
      </c>
      <c r="J26" s="60">
        <f t="shared" si="3"/>
        <v>4.4051201865037354E-3</v>
      </c>
      <c r="K26" s="59"/>
      <c r="L26" s="59"/>
      <c r="M26" s="59"/>
      <c r="N26" s="59"/>
    </row>
    <row r="27" spans="1:14" ht="20" customHeight="1" x14ac:dyDescent="0.15">
      <c r="A27" s="53" t="s">
        <v>2</v>
      </c>
      <c r="B27" s="54" t="s">
        <v>68</v>
      </c>
      <c r="C27" s="55">
        <v>76</v>
      </c>
      <c r="D27" s="56">
        <v>9.2766000000000002</v>
      </c>
      <c r="E27" s="57" t="s">
        <v>84</v>
      </c>
      <c r="F27" s="61"/>
      <c r="G27" s="61"/>
      <c r="H27" s="59"/>
      <c r="I27" s="60">
        <f t="shared" si="2"/>
        <v>8.9056586086080219E-4</v>
      </c>
      <c r="J27" s="60">
        <f t="shared" si="3"/>
        <v>7.2426346229180288E-4</v>
      </c>
      <c r="K27" s="59"/>
      <c r="L27" s="59"/>
      <c r="M27" s="59"/>
      <c r="N27" s="59"/>
    </row>
    <row r="28" spans="1:14" ht="20" customHeight="1" x14ac:dyDescent="0.15">
      <c r="A28" s="63"/>
      <c r="B28" s="64"/>
      <c r="C28" s="62"/>
      <c r="D28" s="61"/>
      <c r="E28" s="61"/>
      <c r="F28" s="61"/>
      <c r="G28" s="61"/>
      <c r="H28" s="59"/>
      <c r="I28" s="59"/>
      <c r="J28" s="59"/>
      <c r="K28" s="59"/>
      <c r="L28" s="59"/>
      <c r="M28" s="59"/>
      <c r="N28" s="59"/>
    </row>
    <row r="29" spans="1:14" ht="20" customHeight="1" x14ac:dyDescent="0.15">
      <c r="A29" s="72"/>
      <c r="B29" s="66" t="s">
        <v>50</v>
      </c>
      <c r="C29" s="73">
        <f t="shared" ref="C29:D39" si="4">C2/C17-1</f>
        <v>1.4776362507177287E-2</v>
      </c>
      <c r="D29" s="74">
        <f t="shared" si="4"/>
        <v>-8.2111431844412053E-2</v>
      </c>
      <c r="E29" s="75">
        <f t="shared" ref="E29:E39" si="5">E2-E17</f>
        <v>-6.0185185185185255E-4</v>
      </c>
      <c r="F29" s="74">
        <f>F2/F17-1</f>
        <v>0.26061535666609559</v>
      </c>
      <c r="G29" s="70">
        <f>G2-G17</f>
        <v>0.4399999999999995</v>
      </c>
      <c r="H29" s="71"/>
      <c r="I29" s="76"/>
      <c r="J29" s="71"/>
      <c r="K29" s="71"/>
      <c r="L29" s="71"/>
      <c r="M29" s="71"/>
      <c r="N29" s="71"/>
    </row>
    <row r="30" spans="1:14" ht="20" customHeight="1" x14ac:dyDescent="0.15">
      <c r="A30" s="63"/>
      <c r="B30" s="54" t="s">
        <v>51</v>
      </c>
      <c r="C30" s="77">
        <f t="shared" si="4"/>
        <v>0.27131782945736438</v>
      </c>
      <c r="D30" s="78">
        <f t="shared" si="4"/>
        <v>-2.5549030727247457E-2</v>
      </c>
      <c r="E30" s="79">
        <f t="shared" si="5"/>
        <v>-1.6435185185185181E-3</v>
      </c>
      <c r="F30" s="78">
        <f>F3/F18-1</f>
        <v>0.88548950184447106</v>
      </c>
      <c r="G30" s="58">
        <f>G3-G18</f>
        <v>-0.42999999999999972</v>
      </c>
      <c r="H30" s="59"/>
      <c r="I30" s="60">
        <f t="shared" ref="I30:K32" si="6">I3-I18</f>
        <v>4.9296842396282486E-2</v>
      </c>
      <c r="J30" s="60">
        <f t="shared" si="6"/>
        <v>1.358437010236474E-2</v>
      </c>
      <c r="K30" s="60">
        <f t="shared" si="6"/>
        <v>0.11525877205499091</v>
      </c>
      <c r="L30" s="59"/>
      <c r="M30" s="59"/>
      <c r="N30" s="59"/>
    </row>
    <row r="31" spans="1:14" ht="20" customHeight="1" x14ac:dyDescent="0.15">
      <c r="A31" s="63"/>
      <c r="B31" s="54" t="s">
        <v>53</v>
      </c>
      <c r="C31" s="77">
        <f t="shared" si="4"/>
        <v>-0.10646437994722957</v>
      </c>
      <c r="D31" s="78">
        <f t="shared" si="4"/>
        <v>-0.17255444732831293</v>
      </c>
      <c r="E31" s="80">
        <f t="shared" si="5"/>
        <v>-6.0185185185185168E-4</v>
      </c>
      <c r="F31" s="78">
        <f>F4/F19-1</f>
        <v>-6.5122916261269981E-2</v>
      </c>
      <c r="G31" s="58">
        <f>G4-G19</f>
        <v>0.57999999999999963</v>
      </c>
      <c r="H31" s="59"/>
      <c r="I31" s="60">
        <f t="shared" si="6"/>
        <v>-3.1836194958582115E-2</v>
      </c>
      <c r="J31" s="60">
        <f t="shared" si="6"/>
        <v>-3.433974993308192E-2</v>
      </c>
      <c r="K31" s="60">
        <f t="shared" si="6"/>
        <v>-8.244904089234939E-2</v>
      </c>
      <c r="L31" s="59"/>
      <c r="M31" s="59"/>
      <c r="N31" s="59"/>
    </row>
    <row r="32" spans="1:14" ht="20" customHeight="1" x14ac:dyDescent="0.15">
      <c r="A32" s="63"/>
      <c r="B32" s="54" t="s">
        <v>55</v>
      </c>
      <c r="C32" s="77">
        <f t="shared" si="4"/>
        <v>0.18272884283246982</v>
      </c>
      <c r="D32" s="78">
        <f t="shared" si="4"/>
        <v>4.5707537567109435E-2</v>
      </c>
      <c r="E32" s="80">
        <f t="shared" si="5"/>
        <v>-6.8287037037037101E-4</v>
      </c>
      <c r="F32" s="78">
        <f>F5/F20-1</f>
        <v>-7.1742932805458071E-2</v>
      </c>
      <c r="G32" s="58">
        <f>G5-G20</f>
        <v>1.8900000000000006</v>
      </c>
      <c r="H32" s="59"/>
      <c r="I32" s="60">
        <f t="shared" si="6"/>
        <v>2.807288859940657E-2</v>
      </c>
      <c r="J32" s="60">
        <f t="shared" si="6"/>
        <v>2.2045679026495429E-2</v>
      </c>
      <c r="K32" s="60">
        <f t="shared" si="6"/>
        <v>-8.0245310824784311E-2</v>
      </c>
      <c r="L32" s="59"/>
      <c r="M32" s="59"/>
      <c r="N32" s="59"/>
    </row>
    <row r="33" spans="1:14" ht="20" customHeight="1" x14ac:dyDescent="0.15">
      <c r="A33" s="63"/>
      <c r="B33" s="54" t="s">
        <v>57</v>
      </c>
      <c r="C33" s="77">
        <f t="shared" si="4"/>
        <v>-0.33700637655218701</v>
      </c>
      <c r="D33" s="78">
        <f t="shared" si="4"/>
        <v>-0.25516525183326877</v>
      </c>
      <c r="E33" s="81">
        <f t="shared" si="5"/>
        <v>4.1666666666666675E-4</v>
      </c>
      <c r="F33" s="78"/>
      <c r="G33" s="61"/>
      <c r="H33" s="59"/>
      <c r="I33" s="60">
        <f t="shared" ref="I33:J39" si="7">I6-I21</f>
        <v>-7.2623231049691844E-2</v>
      </c>
      <c r="J33" s="60">
        <f t="shared" si="7"/>
        <v>-2.1495200803964332E-2</v>
      </c>
      <c r="K33" s="59"/>
      <c r="L33" s="59"/>
      <c r="M33" s="59"/>
      <c r="N33" s="59"/>
    </row>
    <row r="34" spans="1:14" ht="20" customHeight="1" x14ac:dyDescent="0.15">
      <c r="A34" s="63"/>
      <c r="B34" s="54" t="s">
        <v>59</v>
      </c>
      <c r="C34" s="77">
        <f t="shared" si="4"/>
        <v>0.34264497878359257</v>
      </c>
      <c r="D34" s="78">
        <f t="shared" si="4"/>
        <v>0.1828325364858403</v>
      </c>
      <c r="E34" s="79">
        <f t="shared" si="5"/>
        <v>-7.2916666666666616E-4</v>
      </c>
      <c r="F34" s="78">
        <f>F7/F22-1</f>
        <v>0.65567487340667019</v>
      </c>
      <c r="G34" s="58">
        <f>G7-G22</f>
        <v>-0.12000000000000011</v>
      </c>
      <c r="H34" s="59"/>
      <c r="I34" s="60">
        <f t="shared" si="7"/>
        <v>2.1413682374819928E-2</v>
      </c>
      <c r="J34" s="60">
        <f t="shared" si="7"/>
        <v>1.8812601308501375E-2</v>
      </c>
      <c r="K34" s="60">
        <f>K7-K22</f>
        <v>4.1272820433564533E-2</v>
      </c>
      <c r="L34" s="59"/>
      <c r="M34" s="59"/>
      <c r="N34" s="59"/>
    </row>
    <row r="35" spans="1:14" ht="20" customHeight="1" x14ac:dyDescent="0.15">
      <c r="A35" s="63"/>
      <c r="B35" s="54" t="s">
        <v>60</v>
      </c>
      <c r="C35" s="77">
        <f t="shared" si="4"/>
        <v>-0.18349963494767585</v>
      </c>
      <c r="D35" s="78">
        <f t="shared" si="4"/>
        <v>-0.33899672645623324</v>
      </c>
      <c r="E35" s="79">
        <f t="shared" si="5"/>
        <v>-8.9120370370370395E-4</v>
      </c>
      <c r="F35" s="78"/>
      <c r="G35" s="61"/>
      <c r="H35" s="59"/>
      <c r="I35" s="60">
        <f t="shared" si="7"/>
        <v>-9.4078068538336196E-3</v>
      </c>
      <c r="J35" s="60">
        <f t="shared" si="7"/>
        <v>-1.0000867110146062E-2</v>
      </c>
      <c r="K35" s="59"/>
      <c r="L35" s="59"/>
      <c r="M35" s="59"/>
      <c r="N35" s="59"/>
    </row>
    <row r="36" spans="1:14" ht="20" customHeight="1" x14ac:dyDescent="0.15">
      <c r="A36" s="63"/>
      <c r="B36" s="54" t="s">
        <v>62</v>
      </c>
      <c r="C36" s="77">
        <f t="shared" si="4"/>
        <v>0.15491009681881041</v>
      </c>
      <c r="D36" s="78">
        <f t="shared" si="4"/>
        <v>2.9386458824908201E-2</v>
      </c>
      <c r="E36" s="79">
        <f t="shared" si="5"/>
        <v>-1.0069444444444457E-3</v>
      </c>
      <c r="F36" s="78"/>
      <c r="G36" s="61"/>
      <c r="H36" s="59"/>
      <c r="I36" s="60">
        <f t="shared" si="7"/>
        <v>3.5098160475973764E-3</v>
      </c>
      <c r="J36" s="60">
        <f t="shared" si="7"/>
        <v>4.6041401337319834E-3</v>
      </c>
      <c r="K36" s="59"/>
      <c r="L36" s="59"/>
      <c r="M36" s="59"/>
      <c r="N36" s="59"/>
    </row>
    <row r="37" spans="1:14" ht="20" customHeight="1" x14ac:dyDescent="0.15">
      <c r="A37" s="63"/>
      <c r="B37" s="54" t="s">
        <v>64</v>
      </c>
      <c r="C37" s="77">
        <f t="shared" si="4"/>
        <v>0.26429163214581597</v>
      </c>
      <c r="D37" s="78">
        <f t="shared" si="4"/>
        <v>0.18166402087752154</v>
      </c>
      <c r="E37" s="80">
        <f t="shared" si="5"/>
        <v>-4.2824074074074119E-4</v>
      </c>
      <c r="F37" s="78">
        <f>F10/F25-1</f>
        <v>0.88942755920193917</v>
      </c>
      <c r="G37" s="58">
        <f>G10-G25</f>
        <v>-1.65</v>
      </c>
      <c r="H37" s="59"/>
      <c r="I37" s="60">
        <f t="shared" si="7"/>
        <v>3.4776550860720207E-3</v>
      </c>
      <c r="J37" s="60">
        <f t="shared" si="7"/>
        <v>4.2470772223843316E-3</v>
      </c>
      <c r="K37" s="60">
        <f>K10-K25</f>
        <v>6.1518139785431691E-3</v>
      </c>
      <c r="L37" s="59"/>
      <c r="M37" s="59"/>
      <c r="N37" s="59"/>
    </row>
    <row r="38" spans="1:14" ht="20" customHeight="1" x14ac:dyDescent="0.15">
      <c r="A38" s="63"/>
      <c r="B38" s="54" t="s">
        <v>66</v>
      </c>
      <c r="C38" s="77">
        <f t="shared" si="4"/>
        <v>1.5025773195876289</v>
      </c>
      <c r="D38" s="78">
        <f t="shared" si="4"/>
        <v>0.16398332571221963</v>
      </c>
      <c r="E38" s="79">
        <f t="shared" si="5"/>
        <v>-3.2407407407407411E-3</v>
      </c>
      <c r="F38" s="78"/>
      <c r="G38" s="61"/>
      <c r="H38" s="59"/>
      <c r="I38" s="60">
        <f t="shared" si="7"/>
        <v>6.665898052508259E-3</v>
      </c>
      <c r="J38" s="60">
        <f t="shared" si="7"/>
        <v>1.1810551105171877E-3</v>
      </c>
      <c r="K38" s="59"/>
      <c r="L38" s="59"/>
      <c r="M38" s="59"/>
      <c r="N38" s="59"/>
    </row>
    <row r="39" spans="1:14" ht="20" customHeight="1" x14ac:dyDescent="0.15">
      <c r="A39" s="63"/>
      <c r="B39" s="54" t="s">
        <v>68</v>
      </c>
      <c r="C39" s="77">
        <f t="shared" si="4"/>
        <v>1.5263157894736841</v>
      </c>
      <c r="D39" s="78">
        <f t="shared" si="4"/>
        <v>1.6232132462324556</v>
      </c>
      <c r="E39" s="81">
        <f t="shared" si="5"/>
        <v>1.9675925925925937E-4</v>
      </c>
      <c r="F39" s="78"/>
      <c r="G39" s="61"/>
      <c r="H39" s="59"/>
      <c r="I39" s="60">
        <f t="shared" si="7"/>
        <v>1.3265242084232625E-3</v>
      </c>
      <c r="J39" s="60">
        <f t="shared" si="7"/>
        <v>1.3455929167496162E-3</v>
      </c>
      <c r="K39" s="59"/>
      <c r="L39" s="59"/>
      <c r="M39" s="59"/>
      <c r="N39" s="59"/>
    </row>
    <row r="40" spans="1:14" ht="20" customHeight="1" x14ac:dyDescent="0.15">
      <c r="A40" s="63"/>
      <c r="B40" s="64"/>
      <c r="C40" s="62"/>
      <c r="D40" s="61"/>
      <c r="E40" s="61"/>
      <c r="F40" s="61"/>
      <c r="G40" s="61"/>
      <c r="H40" s="59"/>
      <c r="I40" s="59"/>
      <c r="J40" s="59"/>
      <c r="K40" s="59"/>
      <c r="L40" s="59"/>
      <c r="M40" s="59"/>
      <c r="N40" s="59"/>
    </row>
    <row r="41" spans="1:14" ht="20" customHeight="1" x14ac:dyDescent="0.15">
      <c r="A41" s="63"/>
      <c r="B41" s="64"/>
      <c r="C41" s="62"/>
      <c r="D41" s="61"/>
      <c r="E41" s="61"/>
      <c r="F41" s="61"/>
      <c r="G41" s="61"/>
      <c r="H41" s="59"/>
      <c r="I41" s="59"/>
      <c r="J41" s="59"/>
      <c r="K41" s="59"/>
      <c r="L41" s="59"/>
      <c r="M41" s="59"/>
      <c r="N41" s="59"/>
    </row>
    <row r="42" spans="1:14" ht="20" customHeight="1" x14ac:dyDescent="0.15">
      <c r="A42" s="63"/>
      <c r="B42" s="64"/>
      <c r="C42" s="62"/>
      <c r="D42" s="61"/>
      <c r="E42" s="61"/>
      <c r="F42" s="61"/>
      <c r="G42" s="61"/>
      <c r="H42" s="59"/>
      <c r="I42" s="59"/>
      <c r="J42" s="59"/>
      <c r="K42" s="59"/>
      <c r="L42" s="59"/>
      <c r="M42" s="59"/>
      <c r="N42" s="59"/>
    </row>
    <row r="43" spans="1:14" ht="20" customHeight="1" x14ac:dyDescent="0.15">
      <c r="A43" s="63"/>
      <c r="B43" s="64"/>
      <c r="C43" s="62"/>
      <c r="D43" s="61"/>
      <c r="E43" s="61"/>
      <c r="F43" s="61"/>
      <c r="G43" s="61"/>
      <c r="H43" s="59"/>
      <c r="I43" s="59"/>
      <c r="J43" s="59"/>
      <c r="K43" s="59"/>
      <c r="L43" s="59"/>
      <c r="M43" s="59"/>
      <c r="N43" s="59"/>
    </row>
  </sheetData>
  <conditionalFormatting sqref="C29:K39">
    <cfRule type="cellIs" dxfId="0" priority="1" stopIfTrue="1" operator="lessThan">
      <formula>0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Traffic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 Le</cp:lastModifiedBy>
  <dcterms:modified xsi:type="dcterms:W3CDTF">2024-11-21T02:54:29Z</dcterms:modified>
</cp:coreProperties>
</file>